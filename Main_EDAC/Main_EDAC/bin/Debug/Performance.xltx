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0" windowWidth="20490" windowHeight="790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Performance!$A$1:$Z$53</definedName>
  </definedNames>
  <calcPr calcId="124519"/>
</workbook>
</file>

<file path=xl/calcChain.xml><?xml version="1.0" encoding="utf-8"?>
<calcChain xmlns="http://schemas.openxmlformats.org/spreadsheetml/2006/main">
  <c r="M78" i="1"/>
  <c r="M81" s="1"/>
  <c r="M84" s="1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O46"/>
  <c r="P46"/>
  <c r="Q46"/>
  <c r="R46"/>
  <c r="T46" s="1"/>
  <c r="S46"/>
  <c r="U46" s="1"/>
  <c r="V46"/>
  <c r="AE46" s="1"/>
  <c r="W46"/>
  <c r="X46"/>
  <c r="Z46"/>
  <c r="AA46" s="1"/>
  <c r="AB46"/>
  <c r="O47"/>
  <c r="P47"/>
  <c r="Q47"/>
  <c r="R47" s="1"/>
  <c r="T47" s="1"/>
  <c r="S47"/>
  <c r="V47"/>
  <c r="W47"/>
  <c r="X47" s="1"/>
  <c r="Y47"/>
  <c r="Z47"/>
  <c r="AA47" s="1"/>
  <c r="AC47" s="1"/>
  <c r="AD47" s="1"/>
  <c r="AB47"/>
  <c r="AE47"/>
  <c r="O48"/>
  <c r="P48"/>
  <c r="Q48"/>
  <c r="R48" s="1"/>
  <c r="T48" s="1"/>
  <c r="S48"/>
  <c r="U48"/>
  <c r="V48"/>
  <c r="AE48" s="1"/>
  <c r="W48"/>
  <c r="Z48"/>
  <c r="AA48" s="1"/>
  <c r="AB48"/>
  <c r="AC48" s="1"/>
  <c r="AD48" s="1"/>
  <c r="O49"/>
  <c r="P49"/>
  <c r="Q49"/>
  <c r="R49" s="1"/>
  <c r="T49" s="1"/>
  <c r="S49"/>
  <c r="U49" s="1"/>
  <c r="V49"/>
  <c r="X49" s="1"/>
  <c r="W49"/>
  <c r="Y49"/>
  <c r="Z49"/>
  <c r="AE49" s="1"/>
  <c r="AA49"/>
  <c r="AB49"/>
  <c r="O50"/>
  <c r="P50"/>
  <c r="Q50"/>
  <c r="R50" s="1"/>
  <c r="T50" s="1"/>
  <c r="S50"/>
  <c r="U50" s="1"/>
  <c r="V50"/>
  <c r="Y50" s="1"/>
  <c r="W50"/>
  <c r="X50"/>
  <c r="Z50"/>
  <c r="AA50"/>
  <c r="AB50"/>
  <c r="O51"/>
  <c r="P51"/>
  <c r="Q51"/>
  <c r="R51" s="1"/>
  <c r="T51" s="1"/>
  <c r="S51"/>
  <c r="U51"/>
  <c r="V51"/>
  <c r="W51"/>
  <c r="X51" s="1"/>
  <c r="Y51"/>
  <c r="Z51"/>
  <c r="AA51"/>
  <c r="AB51"/>
  <c r="AC51"/>
  <c r="AD51" s="1"/>
  <c r="AE51"/>
  <c r="O52"/>
  <c r="P52"/>
  <c r="Q52"/>
  <c r="U52" s="1"/>
  <c r="R52"/>
  <c r="T52" s="1"/>
  <c r="S52"/>
  <c r="V52"/>
  <c r="AE52" s="1"/>
  <c r="W52"/>
  <c r="X52"/>
  <c r="Z52"/>
  <c r="AA52" s="1"/>
  <c r="AB52"/>
  <c r="O53"/>
  <c r="P53"/>
  <c r="Q53"/>
  <c r="R53" s="1"/>
  <c r="T53" s="1"/>
  <c r="S53"/>
  <c r="U53"/>
  <c r="V53"/>
  <c r="X53" s="1"/>
  <c r="W53"/>
  <c r="Z53"/>
  <c r="AA53"/>
  <c r="AC53" s="1"/>
  <c r="AD53" s="1"/>
  <c r="AB53"/>
  <c r="AE53"/>
  <c r="O54"/>
  <c r="P54"/>
  <c r="Q54"/>
  <c r="R54"/>
  <c r="T54" s="1"/>
  <c r="S54"/>
  <c r="U54" s="1"/>
  <c r="V54"/>
  <c r="Y54" s="1"/>
  <c r="W54"/>
  <c r="X54"/>
  <c r="Z54"/>
  <c r="AE54" s="1"/>
  <c r="AB54"/>
  <c r="O55"/>
  <c r="P55"/>
  <c r="Q55"/>
  <c r="R55" s="1"/>
  <c r="T55" s="1"/>
  <c r="S55"/>
  <c r="V55"/>
  <c r="W55"/>
  <c r="X55" s="1"/>
  <c r="Y55"/>
  <c r="Z55"/>
  <c r="AA55"/>
  <c r="AC55" s="1"/>
  <c r="AD55" s="1"/>
  <c r="AB55"/>
  <c r="AE55"/>
  <c r="O56"/>
  <c r="P56"/>
  <c r="Q56"/>
  <c r="R56"/>
  <c r="T56" s="1"/>
  <c r="S56"/>
  <c r="U56"/>
  <c r="V56"/>
  <c r="AE56" s="1"/>
  <c r="W56"/>
  <c r="Z56"/>
  <c r="AA56" s="1"/>
  <c r="AB56"/>
  <c r="O57"/>
  <c r="P57"/>
  <c r="Q57"/>
  <c r="R57" s="1"/>
  <c r="T57" s="1"/>
  <c r="S57"/>
  <c r="U57" s="1"/>
  <c r="V57"/>
  <c r="X57" s="1"/>
  <c r="W57"/>
  <c r="Y57"/>
  <c r="Z57"/>
  <c r="AA57"/>
  <c r="AB57"/>
  <c r="AC57" s="1"/>
  <c r="AD57" s="1"/>
  <c r="AE57"/>
  <c r="O58"/>
  <c r="P58"/>
  <c r="Q58"/>
  <c r="R58" s="1"/>
  <c r="T58" s="1"/>
  <c r="S58"/>
  <c r="U58" s="1"/>
  <c r="V58"/>
  <c r="Y58" s="1"/>
  <c r="W58"/>
  <c r="X58"/>
  <c r="Z58"/>
  <c r="AA58"/>
  <c r="AB58"/>
  <c r="O59"/>
  <c r="P59"/>
  <c r="Q59"/>
  <c r="R59" s="1"/>
  <c r="T59" s="1"/>
  <c r="S59"/>
  <c r="U59"/>
  <c r="V59"/>
  <c r="W59"/>
  <c r="X59"/>
  <c r="Y59"/>
  <c r="Z59"/>
  <c r="AA59"/>
  <c r="AB59"/>
  <c r="AC59"/>
  <c r="AD59" s="1"/>
  <c r="AE59"/>
  <c r="O60"/>
  <c r="P60"/>
  <c r="Q60"/>
  <c r="R60"/>
  <c r="T60" s="1"/>
  <c r="S60"/>
  <c r="U60"/>
  <c r="V60"/>
  <c r="AE60" s="1"/>
  <c r="W60"/>
  <c r="X60"/>
  <c r="Z60"/>
  <c r="AA60" s="1"/>
  <c r="AC60" s="1"/>
  <c r="AD60" s="1"/>
  <c r="AB60"/>
  <c r="O61"/>
  <c r="P61"/>
  <c r="Q61"/>
  <c r="R61" s="1"/>
  <c r="T61" s="1"/>
  <c r="S61"/>
  <c r="U61"/>
  <c r="V61"/>
  <c r="X61" s="1"/>
  <c r="W61"/>
  <c r="Z61"/>
  <c r="AA61"/>
  <c r="AB61"/>
  <c r="AC61"/>
  <c r="AD61" s="1"/>
  <c r="AE61"/>
  <c r="O62"/>
  <c r="P62"/>
  <c r="Q62"/>
  <c r="R62"/>
  <c r="S62"/>
  <c r="U62" s="1"/>
  <c r="T62"/>
  <c r="V62"/>
  <c r="Y62" s="1"/>
  <c r="W62"/>
  <c r="X62"/>
  <c r="Z62"/>
  <c r="AE62" s="1"/>
  <c r="AB62"/>
  <c r="O63"/>
  <c r="P63"/>
  <c r="Q63"/>
  <c r="R63" s="1"/>
  <c r="T63" s="1"/>
  <c r="S63"/>
  <c r="V63"/>
  <c r="W63"/>
  <c r="X63" s="1"/>
  <c r="Y63"/>
  <c r="Z63"/>
  <c r="AA63" s="1"/>
  <c r="AC63" s="1"/>
  <c r="AD63" s="1"/>
  <c r="AB63"/>
  <c r="AE63"/>
  <c r="O64"/>
  <c r="P64"/>
  <c r="Q64"/>
  <c r="R64"/>
  <c r="T64" s="1"/>
  <c r="S64"/>
  <c r="U64" s="1"/>
  <c r="V64"/>
  <c r="AE64" s="1"/>
  <c r="W64"/>
  <c r="Z64"/>
  <c r="AA64" s="1"/>
  <c r="AB64"/>
  <c r="O65"/>
  <c r="P65"/>
  <c r="Q65"/>
  <c r="R65" s="1"/>
  <c r="T65" s="1"/>
  <c r="S65"/>
  <c r="U65" s="1"/>
  <c r="V65"/>
  <c r="X65" s="1"/>
  <c r="W65"/>
  <c r="Y65"/>
  <c r="Z65"/>
  <c r="AA65"/>
  <c r="AB65"/>
  <c r="AE65"/>
  <c r="H45"/>
  <c r="I45"/>
  <c r="O45"/>
  <c r="P45"/>
  <c r="Q45"/>
  <c r="R45" s="1"/>
  <c r="T45" s="1"/>
  <c r="S45"/>
  <c r="V45"/>
  <c r="W45"/>
  <c r="Z45"/>
  <c r="AA45" s="1"/>
  <c r="AB45"/>
  <c r="AC64" l="1"/>
  <c r="AD64" s="1"/>
  <c r="AC49"/>
  <c r="AD49" s="1"/>
  <c r="AC58"/>
  <c r="AD58" s="1"/>
  <c r="AC65"/>
  <c r="AD65" s="1"/>
  <c r="AC50"/>
  <c r="AD50" s="1"/>
  <c r="AC52"/>
  <c r="AD52" s="1"/>
  <c r="AC62"/>
  <c r="AD62" s="1"/>
  <c r="AC56"/>
  <c r="AD56" s="1"/>
  <c r="AC46"/>
  <c r="AD46" s="1"/>
  <c r="AA62"/>
  <c r="Y60"/>
  <c r="AE58"/>
  <c r="AA54"/>
  <c r="AC54" s="1"/>
  <c r="AD54" s="1"/>
  <c r="Y52"/>
  <c r="AE50"/>
  <c r="Y46"/>
  <c r="U63"/>
  <c r="U55"/>
  <c r="U47"/>
  <c r="Y64"/>
  <c r="Y56"/>
  <c r="Y48"/>
  <c r="X64"/>
  <c r="Y61"/>
  <c r="X56"/>
  <c r="Y53"/>
  <c r="X48"/>
  <c r="AC45"/>
  <c r="AD45" s="1"/>
  <c r="U45"/>
  <c r="X45"/>
  <c r="Y45"/>
  <c r="AE45"/>
  <c r="B5" i="2" l="1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C4"/>
  <c r="B4"/>
  <c r="D21" l="1"/>
  <c r="D17"/>
  <c r="D13"/>
  <c r="D14"/>
  <c r="D6"/>
  <c r="D5"/>
  <c r="D15"/>
  <c r="D7"/>
  <c r="D9"/>
  <c r="D4"/>
  <c r="D18"/>
  <c r="D19"/>
  <c r="D20"/>
  <c r="D16"/>
  <c r="D12"/>
  <c r="D8"/>
  <c r="D10"/>
  <c r="D11"/>
</calcChain>
</file>

<file path=xl/sharedStrings.xml><?xml version="1.0" encoding="utf-8"?>
<sst xmlns="http://schemas.openxmlformats.org/spreadsheetml/2006/main" count="192" uniqueCount="147">
  <si>
    <t>Engine Performance Sheet</t>
  </si>
  <si>
    <t>R &amp; D Centre,</t>
  </si>
  <si>
    <t>Chennai - 600 011.</t>
  </si>
  <si>
    <t>Date :</t>
  </si>
  <si>
    <t>SF 021  / 7 / 10-03</t>
  </si>
  <si>
    <t>NO</t>
  </si>
  <si>
    <t>YES</t>
  </si>
  <si>
    <t>Nm</t>
  </si>
  <si>
    <t>°C</t>
  </si>
  <si>
    <t>bar</t>
  </si>
  <si>
    <t>lpm</t>
  </si>
  <si>
    <t>Speed</t>
  </si>
  <si>
    <t>SFC</t>
  </si>
  <si>
    <t>Smoke</t>
  </si>
  <si>
    <t>rpm</t>
  </si>
  <si>
    <t>kW</t>
  </si>
  <si>
    <t>Torque (Nm)</t>
  </si>
  <si>
    <t>Power (hp)</t>
  </si>
  <si>
    <t>Turbo Energy Ltd</t>
  </si>
  <si>
    <t>CUSTOMER</t>
  </si>
  <si>
    <t>ENGINE TYPE</t>
  </si>
  <si>
    <t>ENGINE RATING</t>
  </si>
  <si>
    <t>ENGINE SL. NO</t>
  </si>
  <si>
    <t>ENGINE TEST STD</t>
  </si>
  <si>
    <t>NUMBER OF CYL</t>
  </si>
  <si>
    <t>BORE(mm)</t>
  </si>
  <si>
    <t>STROKE(mm)</t>
  </si>
  <si>
    <t>NOZZLE SIZE (mm)</t>
  </si>
  <si>
    <t>M&amp;M</t>
  </si>
  <si>
    <t>2 Cyl. TCIC</t>
  </si>
  <si>
    <t>34KW @ 3750 rpm</t>
  </si>
  <si>
    <t>HLJ6K 49158</t>
  </si>
  <si>
    <t>….</t>
  </si>
  <si>
    <t>ARR. OF CYL</t>
  </si>
  <si>
    <t>SWEPT VOL.(L)</t>
  </si>
  <si>
    <t>0.9 L</t>
  </si>
  <si>
    <t>COMPRESSION RATIO</t>
  </si>
  <si>
    <t>ENGINE COOLANT</t>
  </si>
  <si>
    <t>FUEL INJECTION TIME</t>
  </si>
  <si>
    <t>FIRING ORDER</t>
  </si>
  <si>
    <t>IDLING SPEED(rpm)</t>
  </si>
  <si>
    <t>FUEL INJECTION PUMP</t>
  </si>
  <si>
    <t>Inline</t>
  </si>
  <si>
    <t>F.I.P. S.No.</t>
  </si>
  <si>
    <t>INJECTION PR.(bar)</t>
  </si>
  <si>
    <t xml:space="preserve">FIP NOZZLE TYPE </t>
  </si>
  <si>
    <t>SPRAY HOLE CONFIG</t>
  </si>
  <si>
    <t>EGR CONNECTION</t>
  </si>
  <si>
    <t>Coolent</t>
  </si>
  <si>
    <t>1,2</t>
  </si>
  <si>
    <t>1050RPM</t>
  </si>
  <si>
    <t>PF PUMP</t>
  </si>
  <si>
    <t>max 1450bar</t>
  </si>
  <si>
    <t>Yes</t>
  </si>
  <si>
    <t>FUEL</t>
  </si>
  <si>
    <t>SP.G. OF FUEL</t>
  </si>
  <si>
    <t>ENGINE LUB OIL</t>
  </si>
  <si>
    <t xml:space="preserve">TC MODEL </t>
  </si>
  <si>
    <t>TC SPECIFICATION</t>
  </si>
  <si>
    <t>TC PART NUMBER</t>
  </si>
  <si>
    <t>TC SERIAL NUMBER</t>
  </si>
  <si>
    <t>TC AFTER COOLER</t>
  </si>
  <si>
    <t>AIR FILTER</t>
  </si>
  <si>
    <t>DYNO. TYPE</t>
  </si>
  <si>
    <t>REMARKS</t>
  </si>
  <si>
    <t>DIESEL</t>
  </si>
  <si>
    <t>SAE ISW 40</t>
  </si>
  <si>
    <t>Master Wonder</t>
  </si>
  <si>
    <t>T01-33X68 0.21C-31.2X77 0.18C</t>
  </si>
  <si>
    <t>core no-82</t>
  </si>
  <si>
    <t>ECB 120</t>
  </si>
  <si>
    <t>CELL NO</t>
  </si>
  <si>
    <t>EWO NO</t>
  </si>
  <si>
    <t>TEST NAME</t>
  </si>
  <si>
    <t>AIR COMRESSOR</t>
  </si>
  <si>
    <t>ALTERNATOR</t>
  </si>
  <si>
    <t>COOLING FAN</t>
  </si>
  <si>
    <t>POWER STEERING PUMP</t>
  </si>
  <si>
    <t>DATE OF TEST</t>
  </si>
  <si>
    <t>TESTED BY</t>
  </si>
  <si>
    <t>ENGINEER</t>
  </si>
  <si>
    <t>R.Elango</t>
  </si>
  <si>
    <t>P.RajaRooban</t>
  </si>
  <si>
    <t>11.12.2018</t>
  </si>
  <si>
    <t>Master Wonder_DF10mm_3rd Engine</t>
  </si>
  <si>
    <t>322/18</t>
  </si>
  <si>
    <t>Load</t>
  </si>
  <si>
    <t>Temperatures</t>
  </si>
  <si>
    <t>Pressures</t>
  </si>
  <si>
    <t>T FUEL</t>
  </si>
  <si>
    <t>TWI</t>
  </si>
  <si>
    <t>TWO</t>
  </si>
  <si>
    <t>T OIL</t>
  </si>
  <si>
    <t>T AIR INLET</t>
  </si>
  <si>
    <t>T1</t>
  </si>
  <si>
    <t>T2</t>
  </si>
  <si>
    <t>T2'</t>
  </si>
  <si>
    <t>T3</t>
  </si>
  <si>
    <t>T4</t>
  </si>
  <si>
    <t>T DRY</t>
  </si>
  <si>
    <t xml:space="preserve">T WET </t>
  </si>
  <si>
    <t>T Ambt</t>
  </si>
  <si>
    <t>P OIL</t>
  </si>
  <si>
    <t>P1</t>
  </si>
  <si>
    <t>P2</t>
  </si>
  <si>
    <t>P2'</t>
  </si>
  <si>
    <t>P3</t>
  </si>
  <si>
    <t>P4</t>
  </si>
  <si>
    <t>P Ambt</t>
  </si>
  <si>
    <t>Fuel Flow</t>
  </si>
  <si>
    <t>kg/hr</t>
  </si>
  <si>
    <t>Observed</t>
  </si>
  <si>
    <t>Corrected</t>
  </si>
  <si>
    <t>Power</t>
  </si>
  <si>
    <t>Fuel Delivery</t>
  </si>
  <si>
    <t>FSN</t>
  </si>
  <si>
    <t>TC Speed</t>
  </si>
  <si>
    <t>A/F</t>
  </si>
  <si>
    <t>Corr. factor</t>
  </si>
  <si>
    <t xml:space="preserve">LOAD </t>
  </si>
  <si>
    <t>Blow by</t>
  </si>
  <si>
    <t>Air flow</t>
  </si>
  <si>
    <t>vaccum</t>
  </si>
  <si>
    <t>air-g/st/cylinder</t>
  </si>
  <si>
    <t>row_1</t>
  </si>
  <si>
    <t>V1_red</t>
  </si>
  <si>
    <t>pai_v</t>
  </si>
  <si>
    <t>pai_t</t>
  </si>
  <si>
    <t>MF parameter</t>
  </si>
  <si>
    <t>P2"</t>
  </si>
  <si>
    <t>row_2"</t>
  </si>
  <si>
    <t>theory vol</t>
  </si>
  <si>
    <t>theory mass</t>
  </si>
  <si>
    <t>eta vol</t>
  </si>
  <si>
    <t>P3-P2</t>
  </si>
  <si>
    <t>g/kw.hr</t>
  </si>
  <si>
    <t>mm3/str/cyl</t>
  </si>
  <si>
    <t>Flyup (rpm)</t>
  </si>
  <si>
    <t>LOT</t>
  </si>
  <si>
    <t>LOP</t>
  </si>
  <si>
    <t>Idle (rpm)</t>
  </si>
  <si>
    <t>For Fuel delivery</t>
  </si>
  <si>
    <t>kg/m3</t>
  </si>
  <si>
    <t>m3/hr</t>
  </si>
  <si>
    <t>mm3/str</t>
  </si>
  <si>
    <t>Fuel Tm</t>
  </si>
  <si>
    <t>Sec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</si>
</sst>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Times New Roman"/>
      <family val="1"/>
    </font>
    <font>
      <sz val="10"/>
      <color indexed="12"/>
      <name val="Calibri"/>
      <family val="2"/>
      <scheme val="minor"/>
    </font>
    <font>
      <b/>
      <sz val="10"/>
      <color indexed="16"/>
      <name val="Times New Roman"/>
      <family val="1"/>
    </font>
    <font>
      <sz val="10"/>
      <color indexed="12"/>
      <name val="Times New Roman"/>
      <family val="1"/>
    </font>
    <font>
      <sz val="10"/>
      <color rgb="FFFF0000"/>
      <name val="Book Antiqua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u/>
      <sz val="10"/>
      <color rgb="FFFF0000"/>
      <name val="Castellar"/>
      <family val="1"/>
    </font>
    <font>
      <b/>
      <sz val="10"/>
      <color rgb="FF002060"/>
      <name val="Times New Roman"/>
      <family val="1"/>
    </font>
    <font>
      <sz val="10"/>
      <color indexed="16"/>
      <name val="Calibri"/>
      <family val="2"/>
      <scheme val="minor"/>
    </font>
    <font>
      <sz val="10"/>
      <color rgb="FF3011A3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0"/>
      <color theme="4" tint="-0.249977111117893"/>
      <name val="Times New Roman"/>
      <family val="1"/>
    </font>
    <font>
      <sz val="10"/>
      <color indexed="8"/>
      <name val="Book Antiqua"/>
      <family val="1"/>
    </font>
    <font>
      <sz val="10"/>
      <name val="Book Antiqua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5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thin">
        <color indexed="64"/>
      </bottom>
      <diagonal/>
    </border>
    <border>
      <left/>
      <right style="medium">
        <color theme="6" tint="-0.499984740745262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dashed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dashed">
        <color theme="6" tint="-0.499984740745262"/>
      </top>
      <bottom style="medium">
        <color theme="6" tint="-0.499984740745262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theme="6" tint="-0.499984740745262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2" fillId="0" borderId="0" xfId="0" applyFont="1"/>
    <xf numFmtId="0" fontId="3" fillId="0" borderId="0" xfId="0" applyFont="1" applyBorder="1" applyAlignment="1">
      <alignment horizontal="center" vertical="center" wrapText="1"/>
    </xf>
    <xf numFmtId="0" fontId="0" fillId="0" borderId="15" xfId="0" applyBorder="1"/>
    <xf numFmtId="0" fontId="1" fillId="0" borderId="15" xfId="0" applyFont="1" applyBorder="1"/>
    <xf numFmtId="2" fontId="0" fillId="0" borderId="15" xfId="0" applyNumberFormat="1" applyBorder="1"/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/>
    <xf numFmtId="164" fontId="3" fillId="2" borderId="0" xfId="0" applyNumberFormat="1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2" fillId="0" borderId="0" xfId="0" applyFont="1" applyBorder="1"/>
    <xf numFmtId="0" fontId="10" fillId="0" borderId="37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center" vertical="center" wrapText="1"/>
    </xf>
    <xf numFmtId="0" fontId="10" fillId="0" borderId="47" xfId="0" applyFont="1" applyBorder="1" applyAlignment="1">
      <alignment horizontal="center" vertical="center" wrapText="1"/>
    </xf>
    <xf numFmtId="165" fontId="11" fillId="0" borderId="29" xfId="0" applyNumberFormat="1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2" fillId="0" borderId="0" xfId="0" applyFont="1"/>
    <xf numFmtId="0" fontId="13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3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2" fillId="0" borderId="0" xfId="0" applyFont="1" applyBorder="1" applyAlignment="1"/>
    <xf numFmtId="0" fontId="17" fillId="2" borderId="0" xfId="0" applyFont="1" applyFill="1" applyBorder="1" applyAlignment="1">
      <alignment horizontal="left" vertical="center" wrapText="1"/>
    </xf>
    <xf numFmtId="0" fontId="19" fillId="0" borderId="0" xfId="0" applyFont="1"/>
    <xf numFmtId="0" fontId="16" fillId="0" borderId="35" xfId="0" applyFont="1" applyBorder="1" applyAlignment="1">
      <alignment horizontal="left" vertical="center" wrapText="1"/>
    </xf>
    <xf numFmtId="0" fontId="17" fillId="0" borderId="35" xfId="0" applyFont="1" applyBorder="1" applyAlignment="1">
      <alignment horizontal="left" vertical="center" wrapText="1"/>
    </xf>
    <xf numFmtId="0" fontId="17" fillId="0" borderId="35" xfId="0" applyFont="1" applyBorder="1" applyAlignment="1">
      <alignment vertical="center" wrapText="1"/>
    </xf>
    <xf numFmtId="0" fontId="18" fillId="0" borderId="35" xfId="0" applyFont="1" applyBorder="1" applyAlignment="1">
      <alignment horizontal="left" vertical="top" wrapText="1"/>
    </xf>
    <xf numFmtId="0" fontId="17" fillId="0" borderId="25" xfId="0" applyFont="1" applyBorder="1" applyAlignment="1">
      <alignment horizontal="left" vertical="center" wrapText="1"/>
    </xf>
    <xf numFmtId="0" fontId="10" fillId="0" borderId="40" xfId="0" applyFont="1" applyBorder="1" applyAlignment="1">
      <alignment horizontal="center" vertical="center" wrapText="1"/>
    </xf>
    <xf numFmtId="164" fontId="3" fillId="0" borderId="0" xfId="0" applyNumberFormat="1" applyFont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 wrapText="1"/>
    </xf>
    <xf numFmtId="2" fontId="3" fillId="0" borderId="0" xfId="0" applyNumberFormat="1" applyFont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/>
    </xf>
    <xf numFmtId="1" fontId="3" fillId="0" borderId="49" xfId="0" applyNumberFormat="1" applyFont="1" applyFill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164" fontId="3" fillId="0" borderId="49" xfId="0" applyNumberFormat="1" applyFont="1" applyFill="1" applyBorder="1" applyAlignment="1">
      <alignment horizontal="center" vertical="center" wrapText="1"/>
    </xf>
    <xf numFmtId="2" fontId="3" fillId="0" borderId="50" xfId="0" applyNumberFormat="1" applyFont="1" applyFill="1" applyBorder="1" applyAlignment="1">
      <alignment horizontal="center" vertical="center" wrapText="1"/>
    </xf>
    <xf numFmtId="1" fontId="3" fillId="0" borderId="52" xfId="0" applyNumberFormat="1" applyFont="1" applyFill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164" fontId="3" fillId="0" borderId="52" xfId="0" applyNumberFormat="1" applyFont="1" applyFill="1" applyBorder="1" applyAlignment="1">
      <alignment horizontal="center" vertical="center" wrapText="1"/>
    </xf>
    <xf numFmtId="2" fontId="3" fillId="0" borderId="53" xfId="0" applyNumberFormat="1" applyFont="1" applyFill="1" applyBorder="1" applyAlignment="1">
      <alignment horizontal="center" vertical="center" wrapText="1"/>
    </xf>
    <xf numFmtId="164" fontId="22" fillId="0" borderId="0" xfId="0" applyNumberFormat="1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 vertical="center" wrapText="1"/>
    </xf>
    <xf numFmtId="0" fontId="6" fillId="0" borderId="55" xfId="0" applyFont="1" applyBorder="1"/>
    <xf numFmtId="0" fontId="6" fillId="0" borderId="56" xfId="0" applyFont="1" applyBorder="1"/>
    <xf numFmtId="0" fontId="6" fillId="0" borderId="57" xfId="0" applyFont="1" applyBorder="1"/>
    <xf numFmtId="0" fontId="6" fillId="0" borderId="58" xfId="0" applyFont="1" applyBorder="1"/>
    <xf numFmtId="0" fontId="6" fillId="0" borderId="0" xfId="0" applyFont="1" applyBorder="1"/>
    <xf numFmtId="0" fontId="6" fillId="0" borderId="59" xfId="0" applyFont="1" applyBorder="1"/>
    <xf numFmtId="0" fontId="6" fillId="3" borderId="6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61" xfId="0" applyFont="1" applyBorder="1"/>
    <xf numFmtId="0" fontId="6" fillId="0" borderId="54" xfId="0" applyFont="1" applyBorder="1"/>
    <xf numFmtId="0" fontId="6" fillId="0" borderId="62" xfId="0" applyFont="1" applyBorder="1"/>
    <xf numFmtId="0" fontId="9" fillId="0" borderId="48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164" fontId="22" fillId="0" borderId="54" xfId="0" applyNumberFormat="1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left" vertical="center" wrapText="1"/>
    </xf>
    <xf numFmtId="0" fontId="17" fillId="0" borderId="13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left" vertical="center" wrapText="1"/>
    </xf>
    <xf numFmtId="0" fontId="17" fillId="2" borderId="21" xfId="0" applyFont="1" applyFill="1" applyBorder="1" applyAlignment="1">
      <alignment horizontal="left" vertical="center" wrapText="1"/>
    </xf>
    <xf numFmtId="0" fontId="17" fillId="2" borderId="20" xfId="0" applyFont="1" applyFill="1" applyBorder="1" applyAlignment="1">
      <alignment horizontal="left" vertical="center" wrapText="1"/>
    </xf>
    <xf numFmtId="0" fontId="17" fillId="2" borderId="6" xfId="0" applyFont="1" applyFill="1" applyBorder="1" applyAlignment="1">
      <alignment horizontal="left" vertical="center" wrapText="1"/>
    </xf>
    <xf numFmtId="0" fontId="17" fillId="2" borderId="7" xfId="0" applyFont="1" applyFill="1" applyBorder="1" applyAlignment="1">
      <alignment horizontal="left" vertical="center" wrapText="1"/>
    </xf>
    <xf numFmtId="0" fontId="17" fillId="2" borderId="8" xfId="0" applyFont="1" applyFill="1" applyBorder="1" applyAlignment="1">
      <alignment horizontal="left" vertical="center" wrapText="1"/>
    </xf>
    <xf numFmtId="0" fontId="17" fillId="2" borderId="9" xfId="0" applyFont="1" applyFill="1" applyBorder="1" applyAlignment="1">
      <alignment horizontal="left" vertical="center" wrapText="1"/>
    </xf>
    <xf numFmtId="0" fontId="17" fillId="0" borderId="6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17" fillId="0" borderId="8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7" fillId="0" borderId="9" xfId="0" applyFont="1" applyBorder="1" applyAlignment="1">
      <alignment horizontal="left" vertical="center" wrapText="1"/>
    </xf>
    <xf numFmtId="0" fontId="17" fillId="0" borderId="6" xfId="0" applyFont="1" applyBorder="1" applyAlignment="1">
      <alignment vertical="center" wrapText="1"/>
    </xf>
    <xf numFmtId="0" fontId="17" fillId="0" borderId="8" xfId="0" applyFont="1" applyBorder="1" applyAlignment="1">
      <alignment vertical="center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7" fillId="2" borderId="16" xfId="0" applyFont="1" applyFill="1" applyBorder="1" applyAlignment="1">
      <alignment horizontal="left" vertical="center" wrapText="1"/>
    </xf>
    <xf numFmtId="0" fontId="17" fillId="2" borderId="17" xfId="0" applyFont="1" applyFill="1" applyBorder="1" applyAlignment="1">
      <alignment horizontal="left" vertical="center" wrapText="1"/>
    </xf>
    <xf numFmtId="0" fontId="17" fillId="2" borderId="18" xfId="0" applyFont="1" applyFill="1" applyBorder="1" applyAlignment="1">
      <alignment horizontal="left" vertical="center" wrapText="1"/>
    </xf>
    <xf numFmtId="0" fontId="17" fillId="0" borderId="12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18" fillId="0" borderId="12" xfId="0" applyFont="1" applyBorder="1" applyAlignment="1">
      <alignment horizontal="left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14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18" xfId="0" applyFont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 wrapText="1"/>
    </xf>
    <xf numFmtId="0" fontId="16" fillId="0" borderId="17" xfId="0" applyFont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10" xfId="0" applyFont="1" applyBorder="1" applyAlignment="1">
      <alignment horizontal="left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0" fontId="20" fillId="0" borderId="33" xfId="0" applyFont="1" applyBorder="1" applyAlignment="1">
      <alignment horizontal="center" vertical="center" wrapText="1"/>
    </xf>
    <xf numFmtId="0" fontId="20" fillId="0" borderId="32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6" fillId="0" borderId="12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4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7" fillId="2" borderId="4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4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7" fillId="0" borderId="2" xfId="0" applyFont="1" applyBorder="1" applyAlignment="1">
      <alignment horizontal="left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000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</c:ser>
        <c:dLbls/>
        <c:axId val="120495104"/>
        <c:axId val="120521856"/>
      </c:scatterChart>
      <c:valAx>
        <c:axId val="120495104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93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521856"/>
        <c:crosses val="autoZero"/>
        <c:crossBetween val="midCat"/>
        <c:majorUnit val="200"/>
        <c:minorUnit val="100"/>
      </c:valAx>
      <c:valAx>
        <c:axId val="120521856"/>
        <c:scaling>
          <c:orientation val="minMax"/>
          <c:max val="300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495104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52"/>
          <c:w val="0.83957150394368663"/>
          <c:h val="8.744583397663530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12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</c:ser>
        <c:dLbls/>
        <c:axId val="120578048"/>
        <c:axId val="120579968"/>
      </c:scatterChart>
      <c:valAx>
        <c:axId val="12057804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75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579968"/>
        <c:crosses val="autoZero"/>
        <c:crossBetween val="midCat"/>
        <c:majorUnit val="200"/>
      </c:valAx>
      <c:valAx>
        <c:axId val="120579968"/>
        <c:scaling>
          <c:orientation val="minMax"/>
          <c:max val="10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57804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3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</c:ser>
        <c:dLbls/>
        <c:axId val="120894208"/>
        <c:axId val="120896128"/>
      </c:scatterChart>
      <c:valAx>
        <c:axId val="12089420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7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896128"/>
        <c:crosses val="autoZero"/>
        <c:crossBetween val="midCat"/>
        <c:majorUnit val="200"/>
      </c:valAx>
      <c:valAx>
        <c:axId val="120896128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894208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55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</c:ser>
        <c:dLbls/>
        <c:axId val="121009664"/>
        <c:axId val="121011584"/>
      </c:scatterChart>
      <c:valAx>
        <c:axId val="121009664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18"/>
              <c:y val="0.822843638569084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011584"/>
        <c:crosses val="autoZero"/>
        <c:crossBetween val="midCat"/>
        <c:majorUnit val="200"/>
      </c:valAx>
      <c:valAx>
        <c:axId val="121011584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009664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52"/>
          <c:y val="0.12403419040175824"/>
          <c:w val="0.76505313442503564"/>
          <c:h val="0.59256856833416027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</c:ser>
        <c:dLbls/>
        <c:axId val="121133312"/>
        <c:axId val="121160064"/>
      </c:scatterChart>
      <c:valAx>
        <c:axId val="12113331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6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160064"/>
        <c:crosses val="autoZero"/>
        <c:crossBetween val="midCat"/>
        <c:majorUnit val="200"/>
      </c:valAx>
      <c:valAx>
        <c:axId val="121160064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1333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83"/>
          <c:h val="7.2766724770090802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3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6"/>
          <c:y val="7.2752271350696965E-2"/>
          <c:w val="0.82212815141226558"/>
          <c:h val="0.6257209771855472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</c:ser>
        <c:dLbls/>
        <c:axId val="121191424"/>
        <c:axId val="121209984"/>
      </c:scatterChart>
      <c:valAx>
        <c:axId val="121191424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5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209984"/>
        <c:crosses val="autoZero"/>
        <c:crossBetween val="midCat"/>
        <c:majorUnit val="200"/>
      </c:valAx>
      <c:valAx>
        <c:axId val="121209984"/>
        <c:scaling>
          <c:orientation val="minMax"/>
          <c:max val="200"/>
          <c:min val="1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191424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63"/>
          <c:w val="0.83957150394368663"/>
          <c:h val="8.024469382272092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195262</xdr:colOff>
      <xdr:row>74</xdr:row>
      <xdr:rowOff>114300</xdr:rowOff>
    </xdr:from>
    <xdr:ext cx="1728788" cy="264560"/>
    <xdr:sp macro="" textlink="">
      <xdr:nvSpPr>
        <xdr:cNvPr id="2" name="TextBox 1"/>
        <xdr:cNvSpPr txBox="1"/>
      </xdr:nvSpPr>
      <xdr:spPr>
        <a:xfrm>
          <a:off x="5300662" y="19554825"/>
          <a:ext cx="17287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 i="0">
              <a:latin typeface="Cambria Math"/>
            </a:rPr>
            <a:t>𝐹𝑢𝑒𝑙 𝑑𝑒𝑛𝑠𝑖𝑡𝑦</a:t>
          </a:r>
          <a:endParaRPr lang="en-GB" sz="1100"/>
        </a:p>
      </xdr:txBody>
    </xdr:sp>
    <xdr:clientData/>
  </xdr:oneCellAnchor>
  <xdr:oneCellAnchor>
    <xdr:from>
      <xdr:col>7</xdr:col>
      <xdr:colOff>128586</xdr:colOff>
      <xdr:row>76</xdr:row>
      <xdr:rowOff>95250</xdr:rowOff>
    </xdr:from>
    <xdr:ext cx="2728914" cy="264560"/>
    <xdr:sp macro="" textlink="">
      <xdr:nvSpPr>
        <xdr:cNvPr id="3" name="TextBox 2"/>
        <xdr:cNvSpPr txBox="1"/>
      </xdr:nvSpPr>
      <xdr:spPr>
        <a:xfrm>
          <a:off x="4519611" y="19935825"/>
          <a:ext cx="27289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 i="0">
              <a:latin typeface="Cambria Math"/>
            </a:rPr>
            <a:t>𝑉𝑜𝑙𝑢𝑚𝑒 𝑓𝑙𝑜𝑤 𝑜𝑓 𝑓𝑢𝑒𝑙</a:t>
          </a:r>
          <a:r>
            <a:rPr lang="en-GB" sz="1100"/>
            <a:t>=(Massflow/density)</a:t>
          </a:r>
        </a:p>
      </xdr:txBody>
    </xdr:sp>
    <xdr:clientData/>
  </xdr:oneCellAnchor>
  <xdr:oneCellAnchor>
    <xdr:from>
      <xdr:col>8</xdr:col>
      <xdr:colOff>23812</xdr:colOff>
      <xdr:row>79</xdr:row>
      <xdr:rowOff>0</xdr:rowOff>
    </xdr:from>
    <xdr:ext cx="1804988" cy="433388"/>
    <xdr:sp macro="" textlink="">
      <xdr:nvSpPr>
        <xdr:cNvPr id="4" name="TextBox 3"/>
        <xdr:cNvSpPr txBox="1"/>
      </xdr:nvSpPr>
      <xdr:spPr>
        <a:xfrm>
          <a:off x="5129212" y="20440650"/>
          <a:ext cx="1804988" cy="4333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𝐹𝑢𝑒𝑙 𝑑𝑒𝑙𝑖𝑣𝑒𝑟𝑦 𝑖𝑛 </a:t>
          </a:r>
          <a:r>
            <a:rPr lang="en-US" sz="1100" b="0" i="0">
              <a:latin typeface="Cambria Math" panose="02040503050406030204" pitchFamily="18" charset="0"/>
            </a:rPr>
            <a:t>(</a:t>
          </a:r>
          <a:r>
            <a:rPr lang="en-US" sz="1100" b="0" i="0">
              <a:latin typeface="Cambria Math"/>
            </a:rPr>
            <a:t>𝑚𝑚</a:t>
          </a:r>
          <a:r>
            <a:rPr lang="en-US" sz="1100" b="0" i="0">
              <a:latin typeface="Cambria Math" panose="02040503050406030204" pitchFamily="18" charset="0"/>
            </a:rPr>
            <a:t>^</a:t>
          </a:r>
          <a:r>
            <a:rPr lang="en-US" sz="1100" b="0" i="0">
              <a:latin typeface="Cambria Math"/>
            </a:rPr>
            <a:t>3</a:t>
          </a:r>
          <a:r>
            <a:rPr lang="en-US" sz="1100" b="0" i="0">
              <a:latin typeface="Cambria Math" panose="02040503050406030204" pitchFamily="18" charset="0"/>
            </a:rPr>
            <a:t>)/</a:t>
          </a:r>
          <a:r>
            <a:rPr lang="en-US" sz="1100" b="0" i="0">
              <a:latin typeface="Cambria Math"/>
            </a:rPr>
            <a:t>𝑆𝑡𝑟𝑜𝑘𝑒</a:t>
          </a:r>
          <a:endParaRPr lang="en-GB" sz="1100"/>
        </a:p>
      </xdr:txBody>
    </xdr:sp>
    <xdr:clientData/>
  </xdr:oneCellAnchor>
  <xdr:oneCellAnchor>
    <xdr:from>
      <xdr:col>8</xdr:col>
      <xdr:colOff>42862</xdr:colOff>
      <xdr:row>81</xdr:row>
      <xdr:rowOff>152400</xdr:rowOff>
    </xdr:from>
    <xdr:ext cx="1804988" cy="600934"/>
    <xdr:sp macro="" textlink="">
      <xdr:nvSpPr>
        <xdr:cNvPr id="5" name="TextBox 4"/>
        <xdr:cNvSpPr txBox="1"/>
      </xdr:nvSpPr>
      <xdr:spPr>
        <a:xfrm>
          <a:off x="5148262" y="20993100"/>
          <a:ext cx="1804988" cy="600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latin typeface="Cambria Math"/>
            </a:rPr>
            <a:t>𝐹𝑢𝑒𝑙 𝑑𝑒𝑙𝑖𝑣𝑒𝑟𝑦 𝑖𝑛 </a:t>
          </a:r>
          <a:r>
            <a:rPr lang="en-US" sz="1100" b="0" i="0">
              <a:latin typeface="Cambria Math" panose="02040503050406030204" pitchFamily="18" charset="0"/>
            </a:rPr>
            <a:t>(</a:t>
          </a:r>
          <a:r>
            <a:rPr lang="en-US" sz="1100" b="0" i="0">
              <a:latin typeface="Cambria Math"/>
            </a:rPr>
            <a:t>𝑚𝑚</a:t>
          </a:r>
          <a:r>
            <a:rPr lang="en-US" sz="1100" b="0" i="0">
              <a:latin typeface="Cambria Math" panose="02040503050406030204" pitchFamily="18" charset="0"/>
            </a:rPr>
            <a:t>^</a:t>
          </a:r>
          <a:r>
            <a:rPr lang="en-US" sz="1100" b="0" i="0">
              <a:latin typeface="Cambria Math"/>
            </a:rPr>
            <a:t>3</a:t>
          </a:r>
          <a:r>
            <a:rPr lang="en-US" sz="1100" b="0" i="0">
              <a:latin typeface="Cambria Math" panose="02040503050406030204" pitchFamily="18" charset="0"/>
            </a:rPr>
            <a:t>)/(</a:t>
          </a:r>
          <a:r>
            <a:rPr lang="en-US" sz="1100" b="0" i="0">
              <a:latin typeface="Cambria Math"/>
            </a:rPr>
            <a:t>𝑆𝑡𝑟𝑜𝑘𝑒</a:t>
          </a:r>
          <a:r>
            <a:rPr lang="en-US" sz="1100" b="0" i="0">
              <a:latin typeface="Cambria Math" panose="02040503050406030204" pitchFamily="18" charset="0"/>
            </a:rPr>
            <a:t>/</a:t>
          </a:r>
          <a:r>
            <a:rPr lang="en-US" sz="1100" b="0" i="0">
              <a:latin typeface="Cambria Math"/>
            </a:rPr>
            <a:t>𝑐𝑦𝑙𝑖𝑛𝑑𝑒𝑟</a:t>
          </a:r>
          <a:r>
            <a:rPr lang="en-US" sz="1100" b="0" i="0">
              <a:latin typeface="Cambria Math" panose="02040503050406030204" pitchFamily="18" charset="0"/>
            </a:rPr>
            <a:t>)</a:t>
          </a:r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E87"/>
  <sheetViews>
    <sheetView showGridLines="0" tabSelected="1" topLeftCell="A6" workbookViewId="0">
      <selection activeCell="AC24" sqref="AC24"/>
    </sheetView>
  </sheetViews>
  <sheetFormatPr defaultRowHeight="12.75"/>
  <cols>
    <col min="1" max="1" width="3.140625" style="1" customWidth="1"/>
    <col min="2" max="3" width="9.140625" style="1"/>
    <col min="4" max="4" width="7.28515625" style="1" customWidth="1"/>
    <col min="5" max="5" width="7.140625" style="1" customWidth="1"/>
    <col min="6" max="6" width="12.140625" style="1" customWidth="1"/>
    <col min="7" max="7" width="10" style="1" customWidth="1"/>
    <col min="8" max="8" width="12.28515625" style="1" customWidth="1"/>
    <col min="9" max="9" width="7.42578125" style="1" customWidth="1"/>
    <col min="10" max="10" width="7.85546875" style="1" customWidth="1"/>
    <col min="11" max="11" width="8" style="1" customWidth="1"/>
    <col min="12" max="12" width="9.5703125" style="1" customWidth="1"/>
    <col min="13" max="13" width="11.42578125" style="1" customWidth="1"/>
    <col min="14" max="14" width="6.7109375" style="1" customWidth="1"/>
    <col min="15" max="15" width="7.5703125" style="1" customWidth="1"/>
    <col min="16" max="16" width="9.28515625" style="1" customWidth="1"/>
    <col min="17" max="17" width="6.7109375" style="1" customWidth="1"/>
    <col min="18" max="18" width="9.85546875" style="1" customWidth="1"/>
    <col min="19" max="19" width="7.7109375" style="1" customWidth="1"/>
    <col min="20" max="20" width="8.140625" style="1" customWidth="1"/>
    <col min="21" max="21" width="9.5703125" style="1" customWidth="1"/>
    <col min="22" max="22" width="8.5703125" style="1" customWidth="1"/>
    <col min="23" max="23" width="7.140625" style="1" customWidth="1"/>
    <col min="24" max="24" width="11" style="1" customWidth="1"/>
    <col min="25" max="25" width="12.28515625" style="1" customWidth="1"/>
    <col min="26" max="26" width="7.42578125" style="1" customWidth="1"/>
    <col min="27" max="28" width="7.5703125" style="1" customWidth="1"/>
    <col min="29" max="29" width="6.85546875" style="1" customWidth="1"/>
    <col min="30" max="30" width="6" style="1" customWidth="1"/>
    <col min="31" max="16384" width="9.140625" style="1"/>
  </cols>
  <sheetData>
    <row r="1" spans="2:31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2:31">
      <c r="B2" s="31"/>
      <c r="C2" s="32" t="s">
        <v>18</v>
      </c>
      <c r="D2" s="32"/>
      <c r="E2" s="32"/>
      <c r="F2" s="32"/>
      <c r="G2" s="32"/>
      <c r="H2" s="31"/>
      <c r="I2" s="150" t="s">
        <v>0</v>
      </c>
      <c r="J2" s="150"/>
      <c r="K2" s="150"/>
      <c r="L2" s="150"/>
      <c r="M2" s="150"/>
      <c r="N2" s="150"/>
      <c r="O2" s="150"/>
      <c r="P2" s="150"/>
      <c r="Q2" s="150"/>
      <c r="R2" s="150"/>
      <c r="S2" s="141" t="s">
        <v>1</v>
      </c>
      <c r="T2" s="141"/>
      <c r="U2" s="141"/>
      <c r="V2" s="141"/>
      <c r="W2" s="33"/>
      <c r="X2" s="33"/>
      <c r="Y2" s="34"/>
      <c r="Z2" s="34"/>
      <c r="AA2" s="34"/>
      <c r="AB2" s="34"/>
      <c r="AC2" s="34"/>
      <c r="AD2" s="34"/>
      <c r="AE2" s="31"/>
    </row>
    <row r="3" spans="2:31">
      <c r="B3" s="31"/>
      <c r="C3" s="35" t="s">
        <v>2</v>
      </c>
      <c r="D3" s="36"/>
      <c r="E3" s="32"/>
      <c r="F3" s="32"/>
      <c r="G3" s="32"/>
      <c r="H3" s="31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37" t="s">
        <v>3</v>
      </c>
      <c r="T3" s="37"/>
      <c r="U3" s="37"/>
      <c r="V3" s="142"/>
      <c r="W3" s="142"/>
      <c r="X3" s="142"/>
      <c r="Y3" s="143"/>
      <c r="Z3" s="38"/>
      <c r="AA3" s="38"/>
      <c r="AB3" s="38"/>
      <c r="AC3" s="38"/>
      <c r="AD3" s="38"/>
      <c r="AE3" s="31"/>
    </row>
    <row r="4" spans="2:31">
      <c r="B4" s="31"/>
      <c r="C4" s="35" t="s">
        <v>4</v>
      </c>
      <c r="D4" s="35"/>
      <c r="E4" s="31"/>
      <c r="F4" s="31"/>
      <c r="G4" s="31"/>
      <c r="H4" s="31"/>
      <c r="I4" s="31"/>
      <c r="J4" s="31"/>
      <c r="K4" s="31"/>
      <c r="L4" s="39"/>
      <c r="M4" s="39"/>
      <c r="N4" s="39"/>
      <c r="O4" s="39"/>
      <c r="P4" s="39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2:31" s="8" customFormat="1" ht="15" customHeight="1">
      <c r="B5" s="123" t="s">
        <v>19</v>
      </c>
      <c r="C5" s="124"/>
      <c r="D5" s="125"/>
      <c r="E5" s="144" t="s">
        <v>28</v>
      </c>
      <c r="F5" s="144"/>
      <c r="G5" s="144"/>
      <c r="H5" s="145" t="s">
        <v>36</v>
      </c>
      <c r="I5" s="145"/>
      <c r="J5" s="146"/>
      <c r="K5" s="148" t="s">
        <v>32</v>
      </c>
      <c r="L5" s="149"/>
      <c r="M5" s="151" t="s">
        <v>54</v>
      </c>
      <c r="N5" s="152"/>
      <c r="O5" s="153"/>
      <c r="P5" s="148" t="s">
        <v>65</v>
      </c>
      <c r="Q5" s="154"/>
      <c r="R5" s="149"/>
      <c r="S5" s="123" t="s">
        <v>71</v>
      </c>
      <c r="T5" s="124"/>
      <c r="U5" s="125"/>
      <c r="V5" s="147">
        <v>3</v>
      </c>
      <c r="W5" s="147"/>
      <c r="X5" s="147"/>
      <c r="Y5" s="147"/>
      <c r="Z5" s="40"/>
      <c r="AA5" s="40"/>
      <c r="AB5" s="40"/>
      <c r="AC5" s="40"/>
      <c r="AD5" s="40"/>
      <c r="AE5" s="41"/>
    </row>
    <row r="6" spans="2:31" s="8" customFormat="1" ht="15" customHeight="1">
      <c r="B6" s="82" t="s">
        <v>20</v>
      </c>
      <c r="C6" s="83"/>
      <c r="D6" s="84"/>
      <c r="E6" s="103" t="s">
        <v>29</v>
      </c>
      <c r="F6" s="103"/>
      <c r="G6" s="103"/>
      <c r="H6" s="82" t="s">
        <v>37</v>
      </c>
      <c r="I6" s="83"/>
      <c r="J6" s="126"/>
      <c r="K6" s="99" t="s">
        <v>48</v>
      </c>
      <c r="L6" s="101"/>
      <c r="M6" s="106" t="s">
        <v>55</v>
      </c>
      <c r="N6" s="107"/>
      <c r="O6" s="108"/>
      <c r="P6" s="99">
        <v>0.84350000000000003</v>
      </c>
      <c r="Q6" s="100"/>
      <c r="R6" s="101"/>
      <c r="S6" s="82" t="s">
        <v>72</v>
      </c>
      <c r="T6" s="83"/>
      <c r="U6" s="84"/>
      <c r="V6" s="98" t="s">
        <v>85</v>
      </c>
      <c r="W6" s="98"/>
      <c r="X6" s="98"/>
      <c r="Y6" s="98"/>
      <c r="Z6" s="40"/>
      <c r="AA6" s="40"/>
      <c r="AB6" s="40"/>
      <c r="AC6" s="40"/>
      <c r="AD6" s="40"/>
      <c r="AE6" s="41"/>
    </row>
    <row r="7" spans="2:31" s="8" customFormat="1" ht="15" customHeight="1">
      <c r="B7" s="82" t="s">
        <v>21</v>
      </c>
      <c r="C7" s="83"/>
      <c r="D7" s="84"/>
      <c r="E7" s="103" t="s">
        <v>30</v>
      </c>
      <c r="F7" s="103"/>
      <c r="G7" s="103"/>
      <c r="H7" s="82" t="s">
        <v>38</v>
      </c>
      <c r="I7" s="83"/>
      <c r="J7" s="126"/>
      <c r="K7" s="104" t="s">
        <v>32</v>
      </c>
      <c r="L7" s="105"/>
      <c r="M7" s="106" t="s">
        <v>56</v>
      </c>
      <c r="N7" s="107"/>
      <c r="O7" s="108"/>
      <c r="P7" s="99" t="s">
        <v>66</v>
      </c>
      <c r="Q7" s="100"/>
      <c r="R7" s="101"/>
      <c r="S7" s="82" t="s">
        <v>73</v>
      </c>
      <c r="T7" s="83"/>
      <c r="U7" s="84"/>
      <c r="V7" s="98" t="s">
        <v>84</v>
      </c>
      <c r="W7" s="98"/>
      <c r="X7" s="98"/>
      <c r="Y7" s="98"/>
      <c r="Z7" s="40"/>
      <c r="AA7" s="40"/>
      <c r="AB7" s="40"/>
      <c r="AC7" s="40"/>
      <c r="AD7" s="40"/>
      <c r="AE7" s="41"/>
    </row>
    <row r="8" spans="2:31" s="8" customFormat="1" ht="15" customHeight="1">
      <c r="B8" s="82" t="s">
        <v>22</v>
      </c>
      <c r="C8" s="83"/>
      <c r="D8" s="84"/>
      <c r="E8" s="117" t="s">
        <v>31</v>
      </c>
      <c r="F8" s="118"/>
      <c r="G8" s="119"/>
      <c r="H8" s="120" t="s">
        <v>39</v>
      </c>
      <c r="I8" s="121"/>
      <c r="J8" s="122"/>
      <c r="K8" s="104" t="s">
        <v>49</v>
      </c>
      <c r="L8" s="105"/>
      <c r="M8" s="106" t="s">
        <v>57</v>
      </c>
      <c r="N8" s="107"/>
      <c r="O8" s="108"/>
      <c r="P8" s="99" t="s">
        <v>67</v>
      </c>
      <c r="Q8" s="100"/>
      <c r="R8" s="101"/>
      <c r="S8" s="82" t="s">
        <v>74</v>
      </c>
      <c r="T8" s="83"/>
      <c r="U8" s="84"/>
      <c r="V8" s="109" t="s">
        <v>5</v>
      </c>
      <c r="W8" s="110"/>
      <c r="X8" s="110"/>
      <c r="Y8" s="111"/>
      <c r="Z8" s="40"/>
      <c r="AA8" s="40"/>
      <c r="AB8" s="40"/>
      <c r="AC8" s="40"/>
      <c r="AD8" s="40"/>
      <c r="AE8" s="41"/>
    </row>
    <row r="9" spans="2:31" s="8" customFormat="1" ht="15" customHeight="1">
      <c r="B9" s="82" t="s">
        <v>23</v>
      </c>
      <c r="C9" s="83"/>
      <c r="D9" s="84"/>
      <c r="E9" s="99" t="s">
        <v>32</v>
      </c>
      <c r="F9" s="100"/>
      <c r="G9" s="101"/>
      <c r="H9" s="82" t="s">
        <v>40</v>
      </c>
      <c r="I9" s="83"/>
      <c r="J9" s="84"/>
      <c r="K9" s="104" t="s">
        <v>50</v>
      </c>
      <c r="L9" s="105"/>
      <c r="M9" s="106" t="s">
        <v>58</v>
      </c>
      <c r="N9" s="107"/>
      <c r="O9" s="108"/>
      <c r="P9" s="99" t="s">
        <v>68</v>
      </c>
      <c r="Q9" s="100"/>
      <c r="R9" s="101"/>
      <c r="S9" s="82" t="s">
        <v>75</v>
      </c>
      <c r="T9" s="83"/>
      <c r="U9" s="84"/>
      <c r="V9" s="95" t="s">
        <v>6</v>
      </c>
      <c r="W9" s="96"/>
      <c r="X9" s="96"/>
      <c r="Y9" s="97"/>
      <c r="Z9" s="40"/>
      <c r="AA9" s="40"/>
      <c r="AB9" s="40"/>
      <c r="AC9" s="40"/>
      <c r="AD9" s="40"/>
      <c r="AE9" s="41"/>
    </row>
    <row r="10" spans="2:31" s="8" customFormat="1" ht="15" customHeight="1">
      <c r="B10" s="82" t="s">
        <v>24</v>
      </c>
      <c r="C10" s="83"/>
      <c r="D10" s="84"/>
      <c r="E10" s="99">
        <v>2</v>
      </c>
      <c r="F10" s="100"/>
      <c r="G10" s="101"/>
      <c r="H10" s="82" t="s">
        <v>41</v>
      </c>
      <c r="I10" s="83"/>
      <c r="J10" s="84"/>
      <c r="K10" s="104" t="s">
        <v>51</v>
      </c>
      <c r="L10" s="105"/>
      <c r="M10" s="106" t="s">
        <v>59</v>
      </c>
      <c r="N10" s="107"/>
      <c r="O10" s="108"/>
      <c r="P10" s="99">
        <v>603129021407</v>
      </c>
      <c r="Q10" s="100"/>
      <c r="R10" s="101"/>
      <c r="S10" s="82" t="s">
        <v>76</v>
      </c>
      <c r="T10" s="83"/>
      <c r="U10" s="84"/>
      <c r="V10" s="95" t="s">
        <v>5</v>
      </c>
      <c r="W10" s="96"/>
      <c r="X10" s="96"/>
      <c r="Y10" s="97"/>
      <c r="Z10" s="40"/>
      <c r="AA10" s="40"/>
      <c r="AB10" s="40"/>
      <c r="AC10" s="40"/>
      <c r="AD10" s="40"/>
      <c r="AE10" s="41"/>
    </row>
    <row r="11" spans="2:31" s="8" customFormat="1" ht="15" customHeight="1">
      <c r="B11" s="82" t="s">
        <v>33</v>
      </c>
      <c r="C11" s="83"/>
      <c r="D11" s="84"/>
      <c r="E11" s="99" t="s">
        <v>42</v>
      </c>
      <c r="F11" s="100"/>
      <c r="G11" s="101"/>
      <c r="H11" s="82" t="s">
        <v>43</v>
      </c>
      <c r="I11" s="83"/>
      <c r="J11" s="84"/>
      <c r="K11" s="104" t="s">
        <v>32</v>
      </c>
      <c r="L11" s="105"/>
      <c r="M11" s="106" t="s">
        <v>60</v>
      </c>
      <c r="N11" s="107"/>
      <c r="O11" s="108"/>
      <c r="P11" s="99" t="s">
        <v>69</v>
      </c>
      <c r="Q11" s="100"/>
      <c r="R11" s="101"/>
      <c r="S11" s="82" t="s">
        <v>77</v>
      </c>
      <c r="T11" s="83"/>
      <c r="U11" s="84"/>
      <c r="V11" s="95" t="s">
        <v>5</v>
      </c>
      <c r="W11" s="96"/>
      <c r="X11" s="96"/>
      <c r="Y11" s="97"/>
      <c r="Z11" s="40"/>
      <c r="AA11" s="40"/>
      <c r="AB11" s="40"/>
      <c r="AC11" s="40"/>
      <c r="AD11" s="40"/>
      <c r="AE11" s="41"/>
    </row>
    <row r="12" spans="2:31" s="8" customFormat="1" ht="15" customHeight="1">
      <c r="B12" s="102" t="s">
        <v>25</v>
      </c>
      <c r="C12" s="102"/>
      <c r="D12" s="102"/>
      <c r="E12" s="103">
        <v>83</v>
      </c>
      <c r="F12" s="103"/>
      <c r="G12" s="103"/>
      <c r="H12" s="82" t="s">
        <v>44</v>
      </c>
      <c r="I12" s="83"/>
      <c r="J12" s="84"/>
      <c r="K12" s="104" t="s">
        <v>52</v>
      </c>
      <c r="L12" s="105"/>
      <c r="M12" s="106" t="s">
        <v>61</v>
      </c>
      <c r="N12" s="107"/>
      <c r="O12" s="108"/>
      <c r="P12" s="99" t="s">
        <v>6</v>
      </c>
      <c r="Q12" s="100"/>
      <c r="R12" s="101"/>
      <c r="S12" s="82" t="s">
        <v>78</v>
      </c>
      <c r="T12" s="83"/>
      <c r="U12" s="84"/>
      <c r="V12" s="98" t="s">
        <v>83</v>
      </c>
      <c r="W12" s="98"/>
      <c r="X12" s="98"/>
      <c r="Y12" s="98"/>
      <c r="Z12" s="40"/>
      <c r="AA12" s="40"/>
      <c r="AB12" s="40"/>
      <c r="AC12" s="40"/>
      <c r="AD12" s="40"/>
      <c r="AE12" s="41"/>
    </row>
    <row r="13" spans="2:31" s="8" customFormat="1" ht="15" customHeight="1">
      <c r="B13" s="82" t="s">
        <v>26</v>
      </c>
      <c r="C13" s="83"/>
      <c r="D13" s="84"/>
      <c r="E13" s="99">
        <v>84</v>
      </c>
      <c r="F13" s="100"/>
      <c r="G13" s="101"/>
      <c r="H13" s="82" t="s">
        <v>45</v>
      </c>
      <c r="I13" s="83"/>
      <c r="J13" s="84"/>
      <c r="K13" s="104" t="s">
        <v>32</v>
      </c>
      <c r="L13" s="105"/>
      <c r="M13" s="106" t="s">
        <v>62</v>
      </c>
      <c r="N13" s="107"/>
      <c r="O13" s="108"/>
      <c r="P13" s="99" t="s">
        <v>6</v>
      </c>
      <c r="Q13" s="100"/>
      <c r="R13" s="101"/>
      <c r="S13" s="82" t="s">
        <v>79</v>
      </c>
      <c r="T13" s="83"/>
      <c r="U13" s="84"/>
      <c r="V13" s="92" t="s">
        <v>82</v>
      </c>
      <c r="W13" s="93"/>
      <c r="X13" s="93"/>
      <c r="Y13" s="94"/>
      <c r="Z13" s="40"/>
      <c r="AA13" s="40"/>
      <c r="AB13" s="40"/>
      <c r="AC13" s="40"/>
      <c r="AD13" s="40"/>
      <c r="AE13" s="41"/>
    </row>
    <row r="14" spans="2:31" s="8" customFormat="1" ht="15" customHeight="1">
      <c r="B14" s="82" t="s">
        <v>34</v>
      </c>
      <c r="C14" s="83"/>
      <c r="D14" s="84"/>
      <c r="E14" s="99" t="s">
        <v>35</v>
      </c>
      <c r="F14" s="100"/>
      <c r="G14" s="101"/>
      <c r="H14" s="82" t="s">
        <v>46</v>
      </c>
      <c r="I14" s="83"/>
      <c r="J14" s="84"/>
      <c r="K14" s="104" t="s">
        <v>32</v>
      </c>
      <c r="L14" s="105"/>
      <c r="M14" s="106" t="s">
        <v>63</v>
      </c>
      <c r="N14" s="107"/>
      <c r="O14" s="108"/>
      <c r="P14" s="99" t="s">
        <v>70</v>
      </c>
      <c r="Q14" s="100"/>
      <c r="R14" s="101"/>
      <c r="S14" s="82" t="s">
        <v>80</v>
      </c>
      <c r="T14" s="83"/>
      <c r="U14" s="84"/>
      <c r="V14" s="95" t="s">
        <v>81</v>
      </c>
      <c r="W14" s="96"/>
      <c r="X14" s="96"/>
      <c r="Y14" s="97"/>
      <c r="Z14" s="40"/>
      <c r="AA14" s="40"/>
      <c r="AB14" s="40"/>
      <c r="AC14" s="40"/>
      <c r="AD14" s="40"/>
      <c r="AE14" s="41"/>
    </row>
    <row r="15" spans="2:31" s="8" customFormat="1" ht="33" customHeight="1">
      <c r="B15" s="136" t="s">
        <v>27</v>
      </c>
      <c r="C15" s="136"/>
      <c r="D15" s="136"/>
      <c r="E15" s="137">
        <v>30.9</v>
      </c>
      <c r="F15" s="137"/>
      <c r="G15" s="137"/>
      <c r="H15" s="138" t="s">
        <v>47</v>
      </c>
      <c r="I15" s="139"/>
      <c r="J15" s="140"/>
      <c r="K15" s="112" t="s">
        <v>53</v>
      </c>
      <c r="L15" s="113"/>
      <c r="M15" s="114" t="s">
        <v>64</v>
      </c>
      <c r="N15" s="115"/>
      <c r="O15" s="116"/>
      <c r="P15" s="87"/>
      <c r="Q15" s="88"/>
      <c r="R15" s="88"/>
      <c r="S15" s="88"/>
      <c r="T15" s="88"/>
      <c r="U15" s="88"/>
      <c r="V15" s="88"/>
      <c r="W15" s="88"/>
      <c r="X15" s="88"/>
      <c r="Y15" s="89"/>
      <c r="Z15" s="40"/>
      <c r="AA15" s="40"/>
      <c r="AB15" s="40"/>
      <c r="AC15" s="40"/>
      <c r="AD15" s="40"/>
      <c r="AE15" s="41"/>
    </row>
    <row r="16" spans="2:31" s="8" customFormat="1" ht="7.5" customHeight="1" thickBot="1">
      <c r="B16" s="42"/>
      <c r="C16" s="42"/>
      <c r="D16" s="42"/>
      <c r="E16" s="43"/>
      <c r="F16" s="43"/>
      <c r="G16" s="43"/>
      <c r="H16" s="42"/>
      <c r="I16" s="42"/>
      <c r="J16" s="42"/>
      <c r="K16" s="44"/>
      <c r="L16" s="44"/>
      <c r="M16" s="45"/>
      <c r="N16" s="45"/>
      <c r="O16" s="45"/>
      <c r="P16" s="43"/>
      <c r="Q16" s="46"/>
      <c r="R16" s="46"/>
      <c r="S16" s="46"/>
      <c r="T16" s="46"/>
      <c r="U16" s="46"/>
      <c r="V16" s="46"/>
      <c r="W16" s="46"/>
      <c r="X16" s="46"/>
      <c r="Y16" s="46"/>
      <c r="Z16" s="40"/>
      <c r="AA16" s="40"/>
      <c r="AB16" s="40"/>
      <c r="AC16" s="40"/>
      <c r="AD16" s="40"/>
      <c r="AE16" s="41"/>
    </row>
    <row r="17" spans="1:31" s="8" customFormat="1" ht="16.5" customHeight="1">
      <c r="B17" s="127" t="s">
        <v>11</v>
      </c>
      <c r="C17" s="129" t="s">
        <v>86</v>
      </c>
      <c r="D17" s="131" t="s">
        <v>87</v>
      </c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3"/>
      <c r="Q17" s="90" t="s">
        <v>88</v>
      </c>
      <c r="R17" s="90"/>
      <c r="S17" s="90"/>
      <c r="T17" s="90"/>
      <c r="U17" s="90"/>
      <c r="V17" s="90"/>
      <c r="W17" s="91"/>
      <c r="X17" s="85" t="s">
        <v>109</v>
      </c>
      <c r="Y17" s="85" t="s">
        <v>145</v>
      </c>
      <c r="Z17" s="11"/>
      <c r="AA17" s="6"/>
      <c r="AB17" s="6"/>
      <c r="AC17" s="6"/>
      <c r="AD17" s="6"/>
      <c r="AE17" s="7"/>
    </row>
    <row r="18" spans="1:31" s="8" customFormat="1" ht="29.25" customHeight="1">
      <c r="B18" s="128"/>
      <c r="C18" s="130"/>
      <c r="D18" s="17" t="s">
        <v>89</v>
      </c>
      <c r="E18" s="20" t="s">
        <v>90</v>
      </c>
      <c r="F18" s="18" t="s">
        <v>91</v>
      </c>
      <c r="G18" s="17" t="s">
        <v>92</v>
      </c>
      <c r="H18" s="20" t="s">
        <v>93</v>
      </c>
      <c r="I18" s="21" t="s">
        <v>94</v>
      </c>
      <c r="J18" s="17" t="s">
        <v>95</v>
      </c>
      <c r="K18" s="20" t="s">
        <v>96</v>
      </c>
      <c r="L18" s="21" t="s">
        <v>97</v>
      </c>
      <c r="M18" s="17" t="s">
        <v>98</v>
      </c>
      <c r="N18" s="20" t="s">
        <v>99</v>
      </c>
      <c r="O18" s="21" t="s">
        <v>100</v>
      </c>
      <c r="P18" s="20" t="s">
        <v>101</v>
      </c>
      <c r="Q18" s="21" t="s">
        <v>102</v>
      </c>
      <c r="R18" s="17" t="s">
        <v>103</v>
      </c>
      <c r="S18" s="20" t="s">
        <v>104</v>
      </c>
      <c r="T18" s="21" t="s">
        <v>105</v>
      </c>
      <c r="U18" s="17" t="s">
        <v>106</v>
      </c>
      <c r="V18" s="20" t="s">
        <v>107</v>
      </c>
      <c r="W18" s="21" t="s">
        <v>108</v>
      </c>
      <c r="X18" s="86"/>
      <c r="Y18" s="86"/>
      <c r="Z18" s="11"/>
      <c r="AA18" s="6"/>
      <c r="AB18" s="6"/>
      <c r="AC18" s="6"/>
      <c r="AD18" s="6"/>
      <c r="AE18" s="7"/>
    </row>
    <row r="19" spans="1:31" s="8" customFormat="1" ht="18.75" customHeight="1" thickBot="1">
      <c r="B19" s="15" t="s">
        <v>14</v>
      </c>
      <c r="C19" s="16" t="s">
        <v>7</v>
      </c>
      <c r="D19" s="15" t="s">
        <v>8</v>
      </c>
      <c r="E19" s="16" t="s">
        <v>8</v>
      </c>
      <c r="F19" s="19" t="s">
        <v>8</v>
      </c>
      <c r="G19" s="15" t="s">
        <v>8</v>
      </c>
      <c r="H19" s="16" t="s">
        <v>8</v>
      </c>
      <c r="I19" s="19" t="s">
        <v>8</v>
      </c>
      <c r="J19" s="15" t="s">
        <v>8</v>
      </c>
      <c r="K19" s="16" t="s">
        <v>8</v>
      </c>
      <c r="L19" s="19" t="s">
        <v>8</v>
      </c>
      <c r="M19" s="15" t="s">
        <v>8</v>
      </c>
      <c r="N19" s="16" t="s">
        <v>8</v>
      </c>
      <c r="O19" s="19" t="s">
        <v>8</v>
      </c>
      <c r="P19" s="13" t="s">
        <v>8</v>
      </c>
      <c r="Q19" s="19" t="s">
        <v>9</v>
      </c>
      <c r="R19" s="15" t="s">
        <v>9</v>
      </c>
      <c r="S19" s="16" t="s">
        <v>9</v>
      </c>
      <c r="T19" s="19" t="s">
        <v>9</v>
      </c>
      <c r="U19" s="15" t="s">
        <v>9</v>
      </c>
      <c r="V19" s="16" t="s">
        <v>9</v>
      </c>
      <c r="W19" s="19" t="s">
        <v>9</v>
      </c>
      <c r="X19" s="47" t="s">
        <v>110</v>
      </c>
      <c r="Y19" s="47" t="s">
        <v>146</v>
      </c>
      <c r="Z19" s="12"/>
      <c r="AA19" s="10"/>
      <c r="AB19" s="10"/>
      <c r="AC19" s="10"/>
      <c r="AD19" s="10"/>
      <c r="AE19" s="7"/>
    </row>
    <row r="20" spans="1:31" s="8" customFormat="1" ht="15.95" customHeight="1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4"/>
      <c r="Q20" s="23"/>
      <c r="R20" s="23"/>
      <c r="S20" s="23"/>
      <c r="T20" s="23"/>
      <c r="U20" s="23"/>
      <c r="V20" s="23"/>
      <c r="W20" s="23"/>
      <c r="X20" s="23"/>
      <c r="Y20" s="155"/>
      <c r="Z20" s="10"/>
      <c r="AA20" s="10"/>
      <c r="AB20" s="10"/>
      <c r="AC20" s="10"/>
      <c r="AD20" s="10"/>
      <c r="AE20" s="7"/>
    </row>
    <row r="21" spans="1:31" ht="15.95" customHeight="1">
      <c r="A21" s="14"/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156"/>
      <c r="Z21" s="9"/>
      <c r="AA21" s="9"/>
      <c r="AB21" s="9"/>
      <c r="AC21" s="9"/>
      <c r="AD21" s="9"/>
      <c r="AE21" s="2"/>
    </row>
    <row r="22" spans="1:31" ht="15.95" customHeight="1">
      <c r="A22" s="14"/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156"/>
      <c r="Z22" s="9"/>
      <c r="AA22" s="9"/>
      <c r="AB22" s="9"/>
      <c r="AC22" s="9"/>
      <c r="AD22" s="9"/>
      <c r="AE22" s="2"/>
    </row>
    <row r="23" spans="1:31" ht="15.95" customHeight="1">
      <c r="A23" s="14"/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156"/>
      <c r="Z23" s="9"/>
      <c r="AA23" s="9"/>
      <c r="AB23" s="9"/>
      <c r="AC23" s="9"/>
      <c r="AD23" s="9"/>
      <c r="AE23" s="2"/>
    </row>
    <row r="24" spans="1:31" ht="15.95" customHeight="1">
      <c r="A24" s="14"/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156"/>
      <c r="Z24" s="9"/>
      <c r="AA24" s="9"/>
      <c r="AB24" s="9"/>
      <c r="AC24" s="9"/>
      <c r="AD24" s="9"/>
      <c r="AE24" s="2"/>
    </row>
    <row r="25" spans="1:31" ht="15.95" customHeight="1">
      <c r="A25" s="14"/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156"/>
      <c r="Z25" s="9"/>
      <c r="AA25" s="9"/>
      <c r="AB25" s="9"/>
      <c r="AC25" s="9"/>
      <c r="AD25" s="9"/>
      <c r="AE25" s="2"/>
    </row>
    <row r="26" spans="1:31" ht="15.95" customHeight="1">
      <c r="A26" s="14"/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156"/>
      <c r="Z26" s="9"/>
      <c r="AA26" s="9"/>
      <c r="AB26" s="9"/>
      <c r="AC26" s="9"/>
      <c r="AD26" s="9"/>
      <c r="AE26" s="2"/>
    </row>
    <row r="27" spans="1:31" ht="15.95" customHeight="1">
      <c r="A27" s="14"/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156"/>
      <c r="Z27" s="9"/>
      <c r="AA27" s="9"/>
      <c r="AB27" s="9"/>
      <c r="AC27" s="9"/>
      <c r="AD27" s="9"/>
      <c r="AE27" s="2"/>
    </row>
    <row r="28" spans="1:31" ht="15.95" customHeight="1">
      <c r="A28" s="14"/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156"/>
      <c r="Z28" s="9"/>
      <c r="AA28" s="9"/>
      <c r="AB28" s="9"/>
      <c r="AC28" s="9"/>
      <c r="AD28" s="9"/>
      <c r="AE28" s="2"/>
    </row>
    <row r="29" spans="1:31" ht="15.95" customHeight="1">
      <c r="A29" s="14"/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156"/>
      <c r="Z29" s="9"/>
      <c r="AA29" s="9"/>
      <c r="AB29" s="9"/>
      <c r="AC29" s="9"/>
      <c r="AD29" s="9"/>
      <c r="AE29" s="2"/>
    </row>
    <row r="30" spans="1:31" ht="15.95" customHeight="1">
      <c r="A30" s="14"/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156"/>
      <c r="Z30" s="9"/>
      <c r="AA30" s="9"/>
      <c r="AB30" s="9"/>
      <c r="AC30" s="9"/>
      <c r="AD30" s="9"/>
      <c r="AE30" s="2"/>
    </row>
    <row r="31" spans="1:31" ht="15.95" customHeight="1">
      <c r="A31" s="14"/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156"/>
      <c r="Z31" s="9"/>
      <c r="AA31" s="9"/>
      <c r="AB31" s="9"/>
      <c r="AC31" s="9"/>
      <c r="AD31" s="9"/>
      <c r="AE31" s="2"/>
    </row>
    <row r="32" spans="1:31" ht="15.95" customHeight="1">
      <c r="A32" s="14"/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156"/>
      <c r="Z32" s="9"/>
      <c r="AA32" s="9"/>
      <c r="AB32" s="9"/>
      <c r="AC32" s="9"/>
      <c r="AD32" s="9"/>
      <c r="AE32" s="2"/>
    </row>
    <row r="33" spans="1:31" ht="15.95" customHeight="1">
      <c r="A33" s="14"/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156"/>
      <c r="Z33" s="9"/>
      <c r="AA33" s="9"/>
      <c r="AB33" s="9"/>
      <c r="AC33" s="9"/>
      <c r="AD33" s="9"/>
      <c r="AE33" s="2"/>
    </row>
    <row r="34" spans="1:31" ht="15.95" customHeight="1">
      <c r="A34" s="14"/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156"/>
      <c r="Z34" s="9"/>
      <c r="AA34" s="9"/>
      <c r="AB34" s="9"/>
      <c r="AC34" s="9"/>
      <c r="AD34" s="9"/>
      <c r="AE34" s="2"/>
    </row>
    <row r="35" spans="1:31" ht="15.95" customHeight="1">
      <c r="A35" s="14"/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156"/>
      <c r="Z35" s="9"/>
      <c r="AA35" s="9"/>
      <c r="AB35" s="9"/>
      <c r="AC35" s="9"/>
      <c r="AD35" s="9"/>
      <c r="AE35" s="2"/>
    </row>
    <row r="36" spans="1:31" ht="15.95" customHeight="1">
      <c r="A36" s="14"/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156"/>
      <c r="Z36" s="9"/>
      <c r="AA36" s="9"/>
      <c r="AB36" s="9"/>
      <c r="AC36" s="9"/>
      <c r="AD36" s="9"/>
      <c r="AE36" s="2"/>
    </row>
    <row r="37" spans="1:31" ht="15.95" customHeight="1">
      <c r="A37" s="14"/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156"/>
      <c r="Z37" s="9"/>
      <c r="AA37" s="9"/>
      <c r="AB37" s="9"/>
      <c r="AC37" s="9"/>
      <c r="AD37" s="9"/>
      <c r="AE37" s="2"/>
    </row>
    <row r="38" spans="1:31" ht="15.95" customHeight="1">
      <c r="A38" s="14"/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156"/>
      <c r="Z38" s="9"/>
      <c r="AA38" s="9"/>
      <c r="AB38" s="9"/>
      <c r="AC38" s="9"/>
      <c r="AD38" s="9"/>
      <c r="AE38" s="2"/>
    </row>
    <row r="39" spans="1:31" ht="15.95" customHeight="1">
      <c r="A39" s="14"/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156"/>
      <c r="Z39" s="9"/>
      <c r="AA39" s="9"/>
      <c r="AB39" s="9"/>
      <c r="AC39" s="9"/>
      <c r="AD39" s="9"/>
      <c r="AE39" s="2"/>
    </row>
    <row r="40" spans="1:31" ht="15.95" customHeight="1">
      <c r="A40" s="14"/>
      <c r="B40" s="27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157"/>
      <c r="Z40" s="9"/>
      <c r="AA40" s="9"/>
      <c r="AB40" s="9"/>
      <c r="AC40" s="9"/>
      <c r="AD40" s="9"/>
      <c r="AE40" s="2"/>
    </row>
    <row r="41" spans="1:31" ht="15" customHeight="1">
      <c r="A41" s="14"/>
      <c r="B41" s="2"/>
      <c r="C41" s="48"/>
      <c r="D41" s="48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50"/>
      <c r="Q41" s="9"/>
      <c r="R41" s="9"/>
      <c r="S41" s="9"/>
      <c r="T41" s="9"/>
      <c r="U41" s="9"/>
      <c r="V41" s="51"/>
      <c r="W41" s="51"/>
      <c r="X41" s="51"/>
      <c r="Y41" s="9"/>
      <c r="Z41" s="9"/>
      <c r="AA41" s="9"/>
      <c r="AB41" s="9"/>
      <c r="AC41" s="9"/>
      <c r="AD41" s="9"/>
      <c r="AE41" s="2"/>
    </row>
    <row r="42" spans="1:31" ht="15" customHeight="1">
      <c r="A42" s="14"/>
      <c r="B42" s="81" t="s">
        <v>11</v>
      </c>
      <c r="C42" s="81" t="s">
        <v>119</v>
      </c>
      <c r="D42" s="134" t="s">
        <v>111</v>
      </c>
      <c r="E42" s="135"/>
      <c r="F42" s="81" t="s">
        <v>114</v>
      </c>
      <c r="G42" s="81" t="s">
        <v>118</v>
      </c>
      <c r="H42" s="134" t="s">
        <v>112</v>
      </c>
      <c r="I42" s="135"/>
      <c r="J42" s="81" t="s">
        <v>13</v>
      </c>
      <c r="K42" s="81" t="s">
        <v>120</v>
      </c>
      <c r="L42" s="81" t="s">
        <v>116</v>
      </c>
      <c r="M42" s="81" t="s">
        <v>121</v>
      </c>
      <c r="N42" s="81" t="s">
        <v>122</v>
      </c>
      <c r="O42" s="81" t="s">
        <v>123</v>
      </c>
      <c r="P42" s="81" t="s">
        <v>117</v>
      </c>
      <c r="Q42" s="81" t="s">
        <v>103</v>
      </c>
      <c r="R42" s="81" t="s">
        <v>124</v>
      </c>
      <c r="S42" s="81" t="s">
        <v>104</v>
      </c>
      <c r="T42" s="81" t="s">
        <v>125</v>
      </c>
      <c r="U42" s="81" t="s">
        <v>126</v>
      </c>
      <c r="V42" s="81" t="s">
        <v>106</v>
      </c>
      <c r="W42" s="81" t="s">
        <v>107</v>
      </c>
      <c r="X42" s="81" t="s">
        <v>127</v>
      </c>
      <c r="Y42" s="81" t="s">
        <v>128</v>
      </c>
      <c r="Z42" s="81" t="s">
        <v>129</v>
      </c>
      <c r="AA42" s="81" t="s">
        <v>130</v>
      </c>
      <c r="AB42" s="81" t="s">
        <v>131</v>
      </c>
      <c r="AC42" s="81" t="s">
        <v>132</v>
      </c>
      <c r="AD42" s="81" t="s">
        <v>133</v>
      </c>
      <c r="AE42" s="81" t="s">
        <v>134</v>
      </c>
    </row>
    <row r="43" spans="1:31" ht="15" customHeight="1">
      <c r="A43" s="14"/>
      <c r="B43" s="81"/>
      <c r="C43" s="81"/>
      <c r="D43" s="20" t="s">
        <v>113</v>
      </c>
      <c r="E43" s="20" t="s">
        <v>12</v>
      </c>
      <c r="F43" s="81"/>
      <c r="G43" s="81"/>
      <c r="H43" s="20" t="s">
        <v>113</v>
      </c>
      <c r="I43" s="20" t="s">
        <v>12</v>
      </c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</row>
    <row r="44" spans="1:31">
      <c r="B44" s="52" t="s">
        <v>14</v>
      </c>
      <c r="C44" s="52" t="s">
        <v>7</v>
      </c>
      <c r="D44" s="52" t="s">
        <v>15</v>
      </c>
      <c r="E44" s="52" t="s">
        <v>135</v>
      </c>
      <c r="F44" s="53" t="s">
        <v>136</v>
      </c>
      <c r="G44" s="129"/>
      <c r="H44" s="52" t="s">
        <v>15</v>
      </c>
      <c r="I44" s="52" t="s">
        <v>135</v>
      </c>
      <c r="J44" s="52" t="s">
        <v>115</v>
      </c>
      <c r="K44" s="52" t="s">
        <v>10</v>
      </c>
      <c r="L44" s="52" t="s">
        <v>14</v>
      </c>
      <c r="M44" s="52" t="s">
        <v>110</v>
      </c>
      <c r="N44" s="52" t="s">
        <v>9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</row>
    <row r="45" spans="1:31" s="8" customFormat="1" ht="15.95" customHeight="1">
      <c r="B45" s="30"/>
      <c r="C45" s="24"/>
      <c r="D45" s="24"/>
      <c r="E45" s="24"/>
      <c r="F45" s="24"/>
      <c r="G45" s="24"/>
      <c r="H45" s="29">
        <f>D45*G45</f>
        <v>0</v>
      </c>
      <c r="I45" s="29" t="e">
        <f>E45/G45</f>
        <v>#DIV/0!</v>
      </c>
      <c r="J45" s="24"/>
      <c r="K45" s="24"/>
      <c r="L45" s="24"/>
      <c r="M45" s="24"/>
      <c r="N45" s="24"/>
      <c r="O45" s="29" t="e">
        <f>M45*1000/60/(B45/2)/4</f>
        <v>#DIV/0!</v>
      </c>
      <c r="P45" s="29" t="e">
        <f>M45/X20</f>
        <v>#DIV/0!</v>
      </c>
      <c r="Q45" s="29">
        <f>R20*1000</f>
        <v>0</v>
      </c>
      <c r="R45" s="29">
        <f>Q45*100/287/(273+I20)</f>
        <v>0</v>
      </c>
      <c r="S45" s="29">
        <f>(S20+W20)*1000</f>
        <v>0</v>
      </c>
      <c r="T45" s="29" t="e">
        <f>M45/R45/3600</f>
        <v>#DIV/0!</v>
      </c>
      <c r="U45" s="29" t="e">
        <f>S45/Q45</f>
        <v>#DIV/0!</v>
      </c>
      <c r="V45" s="29">
        <f>(U20+W20)*1000</f>
        <v>0</v>
      </c>
      <c r="W45" s="29">
        <f>(V20+W20)*1000</f>
        <v>0</v>
      </c>
      <c r="X45" s="29" t="e">
        <f>V45/W45</f>
        <v>#DIV/0!</v>
      </c>
      <c r="Y45" s="29" t="e">
        <f>(M45/3600)*SQRT(L20+273)/(V45/1000)</f>
        <v>#DIV/0!</v>
      </c>
      <c r="Z45" s="29">
        <f>(T20+W20)*1000</f>
        <v>0</v>
      </c>
      <c r="AA45" s="29">
        <f>Z45*100/287/(273+K20)</f>
        <v>0</v>
      </c>
      <c r="AB45" s="29">
        <f>2.2/1000*60*(B45/2)</f>
        <v>0</v>
      </c>
      <c r="AC45" s="29">
        <f>AB45*AA45</f>
        <v>0</v>
      </c>
      <c r="AD45" s="29" t="e">
        <f>M45/AC45*100</f>
        <v>#DIV/0!</v>
      </c>
      <c r="AE45" s="29">
        <f>V45-Z45</f>
        <v>0</v>
      </c>
    </row>
    <row r="46" spans="1:31" s="8" customFormat="1" ht="15.95" customHeight="1">
      <c r="B46" s="25"/>
      <c r="C46" s="26"/>
      <c r="D46" s="26"/>
      <c r="E46" s="26"/>
      <c r="F46" s="26"/>
      <c r="G46" s="26"/>
      <c r="H46" s="29">
        <f t="shared" ref="H46:H65" si="0">D46*G46</f>
        <v>0</v>
      </c>
      <c r="I46" s="29" t="e">
        <f t="shared" ref="I46:I65" si="1">E46/G46</f>
        <v>#DIV/0!</v>
      </c>
      <c r="J46" s="26"/>
      <c r="K46" s="26"/>
      <c r="L46" s="26"/>
      <c r="M46" s="26"/>
      <c r="N46" s="26"/>
      <c r="O46" s="29" t="e">
        <f t="shared" ref="O46:O65" si="2">M46*1000/60/(B46/2)/4</f>
        <v>#DIV/0!</v>
      </c>
      <c r="P46" s="29" t="e">
        <f t="shared" ref="P46:P65" si="3">M46/X21</f>
        <v>#DIV/0!</v>
      </c>
      <c r="Q46" s="29">
        <f t="shared" ref="Q46:Q65" si="4">R21*1000</f>
        <v>0</v>
      </c>
      <c r="R46" s="29">
        <f t="shared" ref="R46:R65" si="5">Q46*100/287/(273+I21)</f>
        <v>0</v>
      </c>
      <c r="S46" s="29">
        <f t="shared" ref="S46:S65" si="6">(S21+W21)*1000</f>
        <v>0</v>
      </c>
      <c r="T46" s="29" t="e">
        <f t="shared" ref="T46:T65" si="7">M46/R46/3600</f>
        <v>#DIV/0!</v>
      </c>
      <c r="U46" s="29" t="e">
        <f t="shared" ref="U46:U65" si="8">S46/Q46</f>
        <v>#DIV/0!</v>
      </c>
      <c r="V46" s="29">
        <f t="shared" ref="V46:V65" si="9">(U21+W21)*1000</f>
        <v>0</v>
      </c>
      <c r="W46" s="29">
        <f t="shared" ref="W46:W65" si="10">(V21+W21)*1000</f>
        <v>0</v>
      </c>
      <c r="X46" s="29" t="e">
        <f t="shared" ref="X46:X65" si="11">V46/W46</f>
        <v>#DIV/0!</v>
      </c>
      <c r="Y46" s="29" t="e">
        <f t="shared" ref="Y46:Y65" si="12">(M46/3600)*SQRT(L21+273)/(V46/1000)</f>
        <v>#DIV/0!</v>
      </c>
      <c r="Z46" s="29">
        <f t="shared" ref="Z46:Z65" si="13">(T21+W21)*1000</f>
        <v>0</v>
      </c>
      <c r="AA46" s="29">
        <f t="shared" ref="AA46:AA65" si="14">Z46*100/287/(273+K21)</f>
        <v>0</v>
      </c>
      <c r="AB46" s="29">
        <f t="shared" ref="AB46:AB65" si="15">2.2/1000*60*(B46/2)</f>
        <v>0</v>
      </c>
      <c r="AC46" s="29">
        <f t="shared" ref="AC46:AC65" si="16">AB46*AA46</f>
        <v>0</v>
      </c>
      <c r="AD46" s="29" t="e">
        <f t="shared" ref="AD46:AD65" si="17">M46/AC46*100</f>
        <v>#DIV/0!</v>
      </c>
      <c r="AE46" s="29">
        <f t="shared" ref="AE46:AE65" si="18">V46-Z46</f>
        <v>0</v>
      </c>
    </row>
    <row r="47" spans="1:31" s="8" customFormat="1" ht="15.95" customHeight="1">
      <c r="B47" s="25"/>
      <c r="C47" s="26"/>
      <c r="D47" s="26"/>
      <c r="E47" s="26"/>
      <c r="F47" s="26"/>
      <c r="G47" s="26"/>
      <c r="H47" s="29">
        <f t="shared" si="0"/>
        <v>0</v>
      </c>
      <c r="I47" s="29" t="e">
        <f t="shared" si="1"/>
        <v>#DIV/0!</v>
      </c>
      <c r="J47" s="26"/>
      <c r="K47" s="26"/>
      <c r="L47" s="26"/>
      <c r="M47" s="26"/>
      <c r="N47" s="26"/>
      <c r="O47" s="29" t="e">
        <f t="shared" si="2"/>
        <v>#DIV/0!</v>
      </c>
      <c r="P47" s="29" t="e">
        <f t="shared" si="3"/>
        <v>#DIV/0!</v>
      </c>
      <c r="Q47" s="29">
        <f t="shared" si="4"/>
        <v>0</v>
      </c>
      <c r="R47" s="29">
        <f t="shared" si="5"/>
        <v>0</v>
      </c>
      <c r="S47" s="29">
        <f t="shared" si="6"/>
        <v>0</v>
      </c>
      <c r="T47" s="29" t="e">
        <f t="shared" si="7"/>
        <v>#DIV/0!</v>
      </c>
      <c r="U47" s="29" t="e">
        <f t="shared" si="8"/>
        <v>#DIV/0!</v>
      </c>
      <c r="V47" s="29">
        <f t="shared" si="9"/>
        <v>0</v>
      </c>
      <c r="W47" s="29">
        <f t="shared" si="10"/>
        <v>0</v>
      </c>
      <c r="X47" s="29" t="e">
        <f t="shared" si="11"/>
        <v>#DIV/0!</v>
      </c>
      <c r="Y47" s="29" t="e">
        <f t="shared" si="12"/>
        <v>#DIV/0!</v>
      </c>
      <c r="Z47" s="29">
        <f t="shared" si="13"/>
        <v>0</v>
      </c>
      <c r="AA47" s="29">
        <f t="shared" si="14"/>
        <v>0</v>
      </c>
      <c r="AB47" s="29">
        <f t="shared" si="15"/>
        <v>0</v>
      </c>
      <c r="AC47" s="29">
        <f t="shared" si="16"/>
        <v>0</v>
      </c>
      <c r="AD47" s="29" t="e">
        <f t="shared" si="17"/>
        <v>#DIV/0!</v>
      </c>
      <c r="AE47" s="29">
        <f t="shared" si="18"/>
        <v>0</v>
      </c>
    </row>
    <row r="48" spans="1:31" ht="15.95" customHeight="1">
      <c r="B48" s="25"/>
      <c r="C48" s="26"/>
      <c r="D48" s="26"/>
      <c r="E48" s="26"/>
      <c r="F48" s="26"/>
      <c r="G48" s="26"/>
      <c r="H48" s="29">
        <f t="shared" si="0"/>
        <v>0</v>
      </c>
      <c r="I48" s="29" t="e">
        <f t="shared" si="1"/>
        <v>#DIV/0!</v>
      </c>
      <c r="J48" s="26"/>
      <c r="K48" s="26"/>
      <c r="L48" s="26"/>
      <c r="M48" s="26"/>
      <c r="N48" s="26"/>
      <c r="O48" s="29" t="e">
        <f t="shared" si="2"/>
        <v>#DIV/0!</v>
      </c>
      <c r="P48" s="29" t="e">
        <f t="shared" si="3"/>
        <v>#DIV/0!</v>
      </c>
      <c r="Q48" s="29">
        <f t="shared" si="4"/>
        <v>0</v>
      </c>
      <c r="R48" s="29">
        <f t="shared" si="5"/>
        <v>0</v>
      </c>
      <c r="S48" s="29">
        <f t="shared" si="6"/>
        <v>0</v>
      </c>
      <c r="T48" s="29" t="e">
        <f t="shared" si="7"/>
        <v>#DIV/0!</v>
      </c>
      <c r="U48" s="29" t="e">
        <f t="shared" si="8"/>
        <v>#DIV/0!</v>
      </c>
      <c r="V48" s="29">
        <f t="shared" si="9"/>
        <v>0</v>
      </c>
      <c r="W48" s="29">
        <f t="shared" si="10"/>
        <v>0</v>
      </c>
      <c r="X48" s="29" t="e">
        <f t="shared" si="11"/>
        <v>#DIV/0!</v>
      </c>
      <c r="Y48" s="29" t="e">
        <f t="shared" si="12"/>
        <v>#DIV/0!</v>
      </c>
      <c r="Z48" s="29">
        <f t="shared" si="13"/>
        <v>0</v>
      </c>
      <c r="AA48" s="29">
        <f t="shared" si="14"/>
        <v>0</v>
      </c>
      <c r="AB48" s="29">
        <f t="shared" si="15"/>
        <v>0</v>
      </c>
      <c r="AC48" s="29">
        <f t="shared" si="16"/>
        <v>0</v>
      </c>
      <c r="AD48" s="29" t="e">
        <f t="shared" si="17"/>
        <v>#DIV/0!</v>
      </c>
      <c r="AE48" s="29">
        <f t="shared" si="18"/>
        <v>0</v>
      </c>
    </row>
    <row r="49" spans="1:31" ht="15.95" customHeight="1">
      <c r="A49" s="14"/>
      <c r="B49" s="25"/>
      <c r="C49" s="26"/>
      <c r="D49" s="26"/>
      <c r="E49" s="26"/>
      <c r="F49" s="26"/>
      <c r="G49" s="26"/>
      <c r="H49" s="29">
        <f t="shared" si="0"/>
        <v>0</v>
      </c>
      <c r="I49" s="29" t="e">
        <f t="shared" si="1"/>
        <v>#DIV/0!</v>
      </c>
      <c r="J49" s="26"/>
      <c r="K49" s="26"/>
      <c r="L49" s="26"/>
      <c r="M49" s="26"/>
      <c r="N49" s="26"/>
      <c r="O49" s="29" t="e">
        <f t="shared" si="2"/>
        <v>#DIV/0!</v>
      </c>
      <c r="P49" s="29" t="e">
        <f t="shared" si="3"/>
        <v>#DIV/0!</v>
      </c>
      <c r="Q49" s="29">
        <f t="shared" si="4"/>
        <v>0</v>
      </c>
      <c r="R49" s="29">
        <f t="shared" si="5"/>
        <v>0</v>
      </c>
      <c r="S49" s="29">
        <f t="shared" si="6"/>
        <v>0</v>
      </c>
      <c r="T49" s="29" t="e">
        <f t="shared" si="7"/>
        <v>#DIV/0!</v>
      </c>
      <c r="U49" s="29" t="e">
        <f t="shared" si="8"/>
        <v>#DIV/0!</v>
      </c>
      <c r="V49" s="29">
        <f t="shared" si="9"/>
        <v>0</v>
      </c>
      <c r="W49" s="29">
        <f t="shared" si="10"/>
        <v>0</v>
      </c>
      <c r="X49" s="29" t="e">
        <f t="shared" si="11"/>
        <v>#DIV/0!</v>
      </c>
      <c r="Y49" s="29" t="e">
        <f t="shared" si="12"/>
        <v>#DIV/0!</v>
      </c>
      <c r="Z49" s="29">
        <f t="shared" si="13"/>
        <v>0</v>
      </c>
      <c r="AA49" s="29">
        <f t="shared" si="14"/>
        <v>0</v>
      </c>
      <c r="AB49" s="29">
        <f t="shared" si="15"/>
        <v>0</v>
      </c>
      <c r="AC49" s="29">
        <f t="shared" si="16"/>
        <v>0</v>
      </c>
      <c r="AD49" s="29" t="e">
        <f t="shared" si="17"/>
        <v>#DIV/0!</v>
      </c>
      <c r="AE49" s="29">
        <f t="shared" si="18"/>
        <v>0</v>
      </c>
    </row>
    <row r="50" spans="1:31" ht="15.95" customHeight="1">
      <c r="B50" s="25"/>
      <c r="C50" s="26"/>
      <c r="D50" s="26"/>
      <c r="E50" s="26"/>
      <c r="F50" s="26"/>
      <c r="G50" s="26"/>
      <c r="H50" s="29">
        <f t="shared" si="0"/>
        <v>0</v>
      </c>
      <c r="I50" s="29" t="e">
        <f t="shared" si="1"/>
        <v>#DIV/0!</v>
      </c>
      <c r="J50" s="26"/>
      <c r="K50" s="26"/>
      <c r="L50" s="26"/>
      <c r="M50" s="26"/>
      <c r="N50" s="26"/>
      <c r="O50" s="29" t="e">
        <f t="shared" si="2"/>
        <v>#DIV/0!</v>
      </c>
      <c r="P50" s="29" t="e">
        <f t="shared" si="3"/>
        <v>#DIV/0!</v>
      </c>
      <c r="Q50" s="29">
        <f t="shared" si="4"/>
        <v>0</v>
      </c>
      <c r="R50" s="29">
        <f t="shared" si="5"/>
        <v>0</v>
      </c>
      <c r="S50" s="29">
        <f t="shared" si="6"/>
        <v>0</v>
      </c>
      <c r="T50" s="29" t="e">
        <f t="shared" si="7"/>
        <v>#DIV/0!</v>
      </c>
      <c r="U50" s="29" t="e">
        <f t="shared" si="8"/>
        <v>#DIV/0!</v>
      </c>
      <c r="V50" s="29">
        <f t="shared" si="9"/>
        <v>0</v>
      </c>
      <c r="W50" s="29">
        <f t="shared" si="10"/>
        <v>0</v>
      </c>
      <c r="X50" s="29" t="e">
        <f t="shared" si="11"/>
        <v>#DIV/0!</v>
      </c>
      <c r="Y50" s="29" t="e">
        <f t="shared" si="12"/>
        <v>#DIV/0!</v>
      </c>
      <c r="Z50" s="29">
        <f t="shared" si="13"/>
        <v>0</v>
      </c>
      <c r="AA50" s="29">
        <f t="shared" si="14"/>
        <v>0</v>
      </c>
      <c r="AB50" s="29">
        <f t="shared" si="15"/>
        <v>0</v>
      </c>
      <c r="AC50" s="29">
        <f t="shared" si="16"/>
        <v>0</v>
      </c>
      <c r="AD50" s="29" t="e">
        <f t="shared" si="17"/>
        <v>#DIV/0!</v>
      </c>
      <c r="AE50" s="29">
        <f t="shared" si="18"/>
        <v>0</v>
      </c>
    </row>
    <row r="51" spans="1:31" ht="15.95" customHeight="1">
      <c r="B51" s="25"/>
      <c r="C51" s="26"/>
      <c r="D51" s="26"/>
      <c r="E51" s="26"/>
      <c r="F51" s="26"/>
      <c r="G51" s="26"/>
      <c r="H51" s="29">
        <f t="shared" si="0"/>
        <v>0</v>
      </c>
      <c r="I51" s="29" t="e">
        <f t="shared" si="1"/>
        <v>#DIV/0!</v>
      </c>
      <c r="J51" s="26"/>
      <c r="K51" s="26"/>
      <c r="L51" s="26"/>
      <c r="M51" s="26"/>
      <c r="N51" s="26"/>
      <c r="O51" s="29" t="e">
        <f t="shared" si="2"/>
        <v>#DIV/0!</v>
      </c>
      <c r="P51" s="29" t="e">
        <f t="shared" si="3"/>
        <v>#DIV/0!</v>
      </c>
      <c r="Q51" s="29">
        <f t="shared" si="4"/>
        <v>0</v>
      </c>
      <c r="R51" s="29">
        <f t="shared" si="5"/>
        <v>0</v>
      </c>
      <c r="S51" s="29">
        <f t="shared" si="6"/>
        <v>0</v>
      </c>
      <c r="T51" s="29" t="e">
        <f t="shared" si="7"/>
        <v>#DIV/0!</v>
      </c>
      <c r="U51" s="29" t="e">
        <f t="shared" si="8"/>
        <v>#DIV/0!</v>
      </c>
      <c r="V51" s="29">
        <f t="shared" si="9"/>
        <v>0</v>
      </c>
      <c r="W51" s="29">
        <f t="shared" si="10"/>
        <v>0</v>
      </c>
      <c r="X51" s="29" t="e">
        <f t="shared" si="11"/>
        <v>#DIV/0!</v>
      </c>
      <c r="Y51" s="29" t="e">
        <f t="shared" si="12"/>
        <v>#DIV/0!</v>
      </c>
      <c r="Z51" s="29">
        <f t="shared" si="13"/>
        <v>0</v>
      </c>
      <c r="AA51" s="29">
        <f t="shared" si="14"/>
        <v>0</v>
      </c>
      <c r="AB51" s="29">
        <f t="shared" si="15"/>
        <v>0</v>
      </c>
      <c r="AC51" s="29">
        <f t="shared" si="16"/>
        <v>0</v>
      </c>
      <c r="AD51" s="29" t="e">
        <f t="shared" si="17"/>
        <v>#DIV/0!</v>
      </c>
      <c r="AE51" s="29">
        <f t="shared" si="18"/>
        <v>0</v>
      </c>
    </row>
    <row r="52" spans="1:31" ht="15.95" customHeight="1">
      <c r="B52" s="25"/>
      <c r="C52" s="26"/>
      <c r="D52" s="26"/>
      <c r="E52" s="26"/>
      <c r="F52" s="26"/>
      <c r="G52" s="26"/>
      <c r="H52" s="29">
        <f t="shared" si="0"/>
        <v>0</v>
      </c>
      <c r="I52" s="29" t="e">
        <f t="shared" si="1"/>
        <v>#DIV/0!</v>
      </c>
      <c r="J52" s="26"/>
      <c r="K52" s="26"/>
      <c r="L52" s="26"/>
      <c r="M52" s="26"/>
      <c r="N52" s="26"/>
      <c r="O52" s="29" t="e">
        <f t="shared" si="2"/>
        <v>#DIV/0!</v>
      </c>
      <c r="P52" s="29" t="e">
        <f t="shared" si="3"/>
        <v>#DIV/0!</v>
      </c>
      <c r="Q52" s="29">
        <f t="shared" si="4"/>
        <v>0</v>
      </c>
      <c r="R52" s="29">
        <f t="shared" si="5"/>
        <v>0</v>
      </c>
      <c r="S52" s="29">
        <f t="shared" si="6"/>
        <v>0</v>
      </c>
      <c r="T52" s="29" t="e">
        <f t="shared" si="7"/>
        <v>#DIV/0!</v>
      </c>
      <c r="U52" s="29" t="e">
        <f t="shared" si="8"/>
        <v>#DIV/0!</v>
      </c>
      <c r="V52" s="29">
        <f t="shared" si="9"/>
        <v>0</v>
      </c>
      <c r="W52" s="29">
        <f t="shared" si="10"/>
        <v>0</v>
      </c>
      <c r="X52" s="29" t="e">
        <f t="shared" si="11"/>
        <v>#DIV/0!</v>
      </c>
      <c r="Y52" s="29" t="e">
        <f t="shared" si="12"/>
        <v>#DIV/0!</v>
      </c>
      <c r="Z52" s="29">
        <f t="shared" si="13"/>
        <v>0</v>
      </c>
      <c r="AA52" s="29">
        <f t="shared" si="14"/>
        <v>0</v>
      </c>
      <c r="AB52" s="29">
        <f t="shared" si="15"/>
        <v>0</v>
      </c>
      <c r="AC52" s="29">
        <f t="shared" si="16"/>
        <v>0</v>
      </c>
      <c r="AD52" s="29" t="e">
        <f t="shared" si="17"/>
        <v>#DIV/0!</v>
      </c>
      <c r="AE52" s="29">
        <f t="shared" si="18"/>
        <v>0</v>
      </c>
    </row>
    <row r="53" spans="1:31" ht="15.95" customHeight="1">
      <c r="B53" s="25"/>
      <c r="C53" s="26"/>
      <c r="D53" s="26"/>
      <c r="E53" s="26"/>
      <c r="F53" s="26"/>
      <c r="G53" s="26"/>
      <c r="H53" s="29">
        <f t="shared" si="0"/>
        <v>0</v>
      </c>
      <c r="I53" s="29" t="e">
        <f t="shared" si="1"/>
        <v>#DIV/0!</v>
      </c>
      <c r="J53" s="26"/>
      <c r="K53" s="26"/>
      <c r="L53" s="26"/>
      <c r="M53" s="26"/>
      <c r="N53" s="26"/>
      <c r="O53" s="29" t="e">
        <f t="shared" si="2"/>
        <v>#DIV/0!</v>
      </c>
      <c r="P53" s="29" t="e">
        <f t="shared" si="3"/>
        <v>#DIV/0!</v>
      </c>
      <c r="Q53" s="29">
        <f t="shared" si="4"/>
        <v>0</v>
      </c>
      <c r="R53" s="29">
        <f t="shared" si="5"/>
        <v>0</v>
      </c>
      <c r="S53" s="29">
        <f t="shared" si="6"/>
        <v>0</v>
      </c>
      <c r="T53" s="29" t="e">
        <f t="shared" si="7"/>
        <v>#DIV/0!</v>
      </c>
      <c r="U53" s="29" t="e">
        <f t="shared" si="8"/>
        <v>#DIV/0!</v>
      </c>
      <c r="V53" s="29">
        <f t="shared" si="9"/>
        <v>0</v>
      </c>
      <c r="W53" s="29">
        <f t="shared" si="10"/>
        <v>0</v>
      </c>
      <c r="X53" s="29" t="e">
        <f t="shared" si="11"/>
        <v>#DIV/0!</v>
      </c>
      <c r="Y53" s="29" t="e">
        <f t="shared" si="12"/>
        <v>#DIV/0!</v>
      </c>
      <c r="Z53" s="29">
        <f t="shared" si="13"/>
        <v>0</v>
      </c>
      <c r="AA53" s="29">
        <f t="shared" si="14"/>
        <v>0</v>
      </c>
      <c r="AB53" s="29">
        <f t="shared" si="15"/>
        <v>0</v>
      </c>
      <c r="AC53" s="29">
        <f t="shared" si="16"/>
        <v>0</v>
      </c>
      <c r="AD53" s="29" t="e">
        <f t="shared" si="17"/>
        <v>#DIV/0!</v>
      </c>
      <c r="AE53" s="29">
        <f t="shared" si="18"/>
        <v>0</v>
      </c>
    </row>
    <row r="54" spans="1:31" ht="15.95" customHeight="1">
      <c r="B54" s="25"/>
      <c r="C54" s="26"/>
      <c r="D54" s="26"/>
      <c r="E54" s="26"/>
      <c r="F54" s="26"/>
      <c r="G54" s="26"/>
      <c r="H54" s="29">
        <f t="shared" si="0"/>
        <v>0</v>
      </c>
      <c r="I54" s="29" t="e">
        <f t="shared" si="1"/>
        <v>#DIV/0!</v>
      </c>
      <c r="J54" s="26"/>
      <c r="K54" s="26"/>
      <c r="L54" s="26"/>
      <c r="M54" s="26"/>
      <c r="N54" s="26"/>
      <c r="O54" s="29" t="e">
        <f t="shared" si="2"/>
        <v>#DIV/0!</v>
      </c>
      <c r="P54" s="29" t="e">
        <f t="shared" si="3"/>
        <v>#DIV/0!</v>
      </c>
      <c r="Q54" s="29">
        <f t="shared" si="4"/>
        <v>0</v>
      </c>
      <c r="R54" s="29">
        <f t="shared" si="5"/>
        <v>0</v>
      </c>
      <c r="S54" s="29">
        <f t="shared" si="6"/>
        <v>0</v>
      </c>
      <c r="T54" s="29" t="e">
        <f t="shared" si="7"/>
        <v>#DIV/0!</v>
      </c>
      <c r="U54" s="29" t="e">
        <f t="shared" si="8"/>
        <v>#DIV/0!</v>
      </c>
      <c r="V54" s="29">
        <f t="shared" si="9"/>
        <v>0</v>
      </c>
      <c r="W54" s="29">
        <f t="shared" si="10"/>
        <v>0</v>
      </c>
      <c r="X54" s="29" t="e">
        <f t="shared" si="11"/>
        <v>#DIV/0!</v>
      </c>
      <c r="Y54" s="29" t="e">
        <f t="shared" si="12"/>
        <v>#DIV/0!</v>
      </c>
      <c r="Z54" s="29">
        <f t="shared" si="13"/>
        <v>0</v>
      </c>
      <c r="AA54" s="29">
        <f t="shared" si="14"/>
        <v>0</v>
      </c>
      <c r="AB54" s="29">
        <f t="shared" si="15"/>
        <v>0</v>
      </c>
      <c r="AC54" s="29">
        <f t="shared" si="16"/>
        <v>0</v>
      </c>
      <c r="AD54" s="29" t="e">
        <f t="shared" si="17"/>
        <v>#DIV/0!</v>
      </c>
      <c r="AE54" s="29">
        <f t="shared" si="18"/>
        <v>0</v>
      </c>
    </row>
    <row r="55" spans="1:31" ht="15.95" customHeight="1">
      <c r="B55" s="25"/>
      <c r="C55" s="26"/>
      <c r="D55" s="26"/>
      <c r="E55" s="26"/>
      <c r="F55" s="26"/>
      <c r="G55" s="26"/>
      <c r="H55" s="29">
        <f t="shared" si="0"/>
        <v>0</v>
      </c>
      <c r="I55" s="29" t="e">
        <f t="shared" si="1"/>
        <v>#DIV/0!</v>
      </c>
      <c r="J55" s="26"/>
      <c r="K55" s="26"/>
      <c r="L55" s="26"/>
      <c r="M55" s="26"/>
      <c r="N55" s="26"/>
      <c r="O55" s="29" t="e">
        <f t="shared" si="2"/>
        <v>#DIV/0!</v>
      </c>
      <c r="P55" s="29" t="e">
        <f t="shared" si="3"/>
        <v>#DIV/0!</v>
      </c>
      <c r="Q55" s="29">
        <f t="shared" si="4"/>
        <v>0</v>
      </c>
      <c r="R55" s="29">
        <f t="shared" si="5"/>
        <v>0</v>
      </c>
      <c r="S55" s="29">
        <f t="shared" si="6"/>
        <v>0</v>
      </c>
      <c r="T55" s="29" t="e">
        <f t="shared" si="7"/>
        <v>#DIV/0!</v>
      </c>
      <c r="U55" s="29" t="e">
        <f t="shared" si="8"/>
        <v>#DIV/0!</v>
      </c>
      <c r="V55" s="29">
        <f t="shared" si="9"/>
        <v>0</v>
      </c>
      <c r="W55" s="29">
        <f t="shared" si="10"/>
        <v>0</v>
      </c>
      <c r="X55" s="29" t="e">
        <f t="shared" si="11"/>
        <v>#DIV/0!</v>
      </c>
      <c r="Y55" s="29" t="e">
        <f t="shared" si="12"/>
        <v>#DIV/0!</v>
      </c>
      <c r="Z55" s="29">
        <f t="shared" si="13"/>
        <v>0</v>
      </c>
      <c r="AA55" s="29">
        <f t="shared" si="14"/>
        <v>0</v>
      </c>
      <c r="AB55" s="29">
        <f t="shared" si="15"/>
        <v>0</v>
      </c>
      <c r="AC55" s="29">
        <f t="shared" si="16"/>
        <v>0</v>
      </c>
      <c r="AD55" s="29" t="e">
        <f t="shared" si="17"/>
        <v>#DIV/0!</v>
      </c>
      <c r="AE55" s="29">
        <f t="shared" si="18"/>
        <v>0</v>
      </c>
    </row>
    <row r="56" spans="1:31" ht="15.95" customHeight="1">
      <c r="B56" s="25"/>
      <c r="C56" s="26"/>
      <c r="D56" s="26"/>
      <c r="E56" s="26"/>
      <c r="F56" s="26"/>
      <c r="G56" s="26"/>
      <c r="H56" s="29">
        <f t="shared" si="0"/>
        <v>0</v>
      </c>
      <c r="I56" s="29" t="e">
        <f t="shared" si="1"/>
        <v>#DIV/0!</v>
      </c>
      <c r="J56" s="26"/>
      <c r="K56" s="26"/>
      <c r="L56" s="26"/>
      <c r="M56" s="26"/>
      <c r="N56" s="26"/>
      <c r="O56" s="29" t="e">
        <f t="shared" si="2"/>
        <v>#DIV/0!</v>
      </c>
      <c r="P56" s="29" t="e">
        <f t="shared" si="3"/>
        <v>#DIV/0!</v>
      </c>
      <c r="Q56" s="29">
        <f t="shared" si="4"/>
        <v>0</v>
      </c>
      <c r="R56" s="29">
        <f t="shared" si="5"/>
        <v>0</v>
      </c>
      <c r="S56" s="29">
        <f t="shared" si="6"/>
        <v>0</v>
      </c>
      <c r="T56" s="29" t="e">
        <f t="shared" si="7"/>
        <v>#DIV/0!</v>
      </c>
      <c r="U56" s="29" t="e">
        <f t="shared" si="8"/>
        <v>#DIV/0!</v>
      </c>
      <c r="V56" s="29">
        <f t="shared" si="9"/>
        <v>0</v>
      </c>
      <c r="W56" s="29">
        <f t="shared" si="10"/>
        <v>0</v>
      </c>
      <c r="X56" s="29" t="e">
        <f t="shared" si="11"/>
        <v>#DIV/0!</v>
      </c>
      <c r="Y56" s="29" t="e">
        <f t="shared" si="12"/>
        <v>#DIV/0!</v>
      </c>
      <c r="Z56" s="29">
        <f t="shared" si="13"/>
        <v>0</v>
      </c>
      <c r="AA56" s="29">
        <f t="shared" si="14"/>
        <v>0</v>
      </c>
      <c r="AB56" s="29">
        <f t="shared" si="15"/>
        <v>0</v>
      </c>
      <c r="AC56" s="29">
        <f t="shared" si="16"/>
        <v>0</v>
      </c>
      <c r="AD56" s="29" t="e">
        <f t="shared" si="17"/>
        <v>#DIV/0!</v>
      </c>
      <c r="AE56" s="29">
        <f t="shared" si="18"/>
        <v>0</v>
      </c>
    </row>
    <row r="57" spans="1:31" ht="15.95" customHeight="1">
      <c r="B57" s="25"/>
      <c r="C57" s="26"/>
      <c r="D57" s="26"/>
      <c r="E57" s="26"/>
      <c r="F57" s="26"/>
      <c r="G57" s="26"/>
      <c r="H57" s="29">
        <f t="shared" si="0"/>
        <v>0</v>
      </c>
      <c r="I57" s="29" t="e">
        <f t="shared" si="1"/>
        <v>#DIV/0!</v>
      </c>
      <c r="J57" s="26"/>
      <c r="K57" s="26"/>
      <c r="L57" s="26"/>
      <c r="M57" s="26"/>
      <c r="N57" s="26"/>
      <c r="O57" s="29" t="e">
        <f t="shared" si="2"/>
        <v>#DIV/0!</v>
      </c>
      <c r="P57" s="29" t="e">
        <f t="shared" si="3"/>
        <v>#DIV/0!</v>
      </c>
      <c r="Q57" s="29">
        <f t="shared" si="4"/>
        <v>0</v>
      </c>
      <c r="R57" s="29">
        <f t="shared" si="5"/>
        <v>0</v>
      </c>
      <c r="S57" s="29">
        <f t="shared" si="6"/>
        <v>0</v>
      </c>
      <c r="T57" s="29" t="e">
        <f t="shared" si="7"/>
        <v>#DIV/0!</v>
      </c>
      <c r="U57" s="29" t="e">
        <f t="shared" si="8"/>
        <v>#DIV/0!</v>
      </c>
      <c r="V57" s="29">
        <f t="shared" si="9"/>
        <v>0</v>
      </c>
      <c r="W57" s="29">
        <f t="shared" si="10"/>
        <v>0</v>
      </c>
      <c r="X57" s="29" t="e">
        <f t="shared" si="11"/>
        <v>#DIV/0!</v>
      </c>
      <c r="Y57" s="29" t="e">
        <f t="shared" si="12"/>
        <v>#DIV/0!</v>
      </c>
      <c r="Z57" s="29">
        <f t="shared" si="13"/>
        <v>0</v>
      </c>
      <c r="AA57" s="29">
        <f t="shared" si="14"/>
        <v>0</v>
      </c>
      <c r="AB57" s="29">
        <f t="shared" si="15"/>
        <v>0</v>
      </c>
      <c r="AC57" s="29">
        <f t="shared" si="16"/>
        <v>0</v>
      </c>
      <c r="AD57" s="29" t="e">
        <f t="shared" si="17"/>
        <v>#DIV/0!</v>
      </c>
      <c r="AE57" s="29">
        <f t="shared" si="18"/>
        <v>0</v>
      </c>
    </row>
    <row r="58" spans="1:31" ht="15.95" customHeight="1">
      <c r="B58" s="25"/>
      <c r="C58" s="26"/>
      <c r="D58" s="26"/>
      <c r="E58" s="26"/>
      <c r="F58" s="26"/>
      <c r="G58" s="26"/>
      <c r="H58" s="29">
        <f t="shared" si="0"/>
        <v>0</v>
      </c>
      <c r="I58" s="29" t="e">
        <f t="shared" si="1"/>
        <v>#DIV/0!</v>
      </c>
      <c r="J58" s="26"/>
      <c r="K58" s="26"/>
      <c r="L58" s="26"/>
      <c r="M58" s="26"/>
      <c r="N58" s="26"/>
      <c r="O58" s="29" t="e">
        <f t="shared" si="2"/>
        <v>#DIV/0!</v>
      </c>
      <c r="P58" s="29" t="e">
        <f t="shared" si="3"/>
        <v>#DIV/0!</v>
      </c>
      <c r="Q58" s="29">
        <f t="shared" si="4"/>
        <v>0</v>
      </c>
      <c r="R58" s="29">
        <f t="shared" si="5"/>
        <v>0</v>
      </c>
      <c r="S58" s="29">
        <f t="shared" si="6"/>
        <v>0</v>
      </c>
      <c r="T58" s="29" t="e">
        <f t="shared" si="7"/>
        <v>#DIV/0!</v>
      </c>
      <c r="U58" s="29" t="e">
        <f t="shared" si="8"/>
        <v>#DIV/0!</v>
      </c>
      <c r="V58" s="29">
        <f t="shared" si="9"/>
        <v>0</v>
      </c>
      <c r="W58" s="29">
        <f t="shared" si="10"/>
        <v>0</v>
      </c>
      <c r="X58" s="29" t="e">
        <f t="shared" si="11"/>
        <v>#DIV/0!</v>
      </c>
      <c r="Y58" s="29" t="e">
        <f t="shared" si="12"/>
        <v>#DIV/0!</v>
      </c>
      <c r="Z58" s="29">
        <f t="shared" si="13"/>
        <v>0</v>
      </c>
      <c r="AA58" s="29">
        <f t="shared" si="14"/>
        <v>0</v>
      </c>
      <c r="AB58" s="29">
        <f t="shared" si="15"/>
        <v>0</v>
      </c>
      <c r="AC58" s="29">
        <f t="shared" si="16"/>
        <v>0</v>
      </c>
      <c r="AD58" s="29" t="e">
        <f t="shared" si="17"/>
        <v>#DIV/0!</v>
      </c>
      <c r="AE58" s="29">
        <f t="shared" si="18"/>
        <v>0</v>
      </c>
    </row>
    <row r="59" spans="1:31" ht="15.95" customHeight="1">
      <c r="B59" s="25"/>
      <c r="C59" s="26"/>
      <c r="D59" s="26"/>
      <c r="E59" s="26"/>
      <c r="F59" s="26"/>
      <c r="G59" s="26"/>
      <c r="H59" s="29">
        <f t="shared" si="0"/>
        <v>0</v>
      </c>
      <c r="I59" s="29" t="e">
        <f t="shared" si="1"/>
        <v>#DIV/0!</v>
      </c>
      <c r="J59" s="26"/>
      <c r="K59" s="26"/>
      <c r="L59" s="26"/>
      <c r="M59" s="26"/>
      <c r="N59" s="26"/>
      <c r="O59" s="29" t="e">
        <f t="shared" si="2"/>
        <v>#DIV/0!</v>
      </c>
      <c r="P59" s="29" t="e">
        <f t="shared" si="3"/>
        <v>#DIV/0!</v>
      </c>
      <c r="Q59" s="29">
        <f t="shared" si="4"/>
        <v>0</v>
      </c>
      <c r="R59" s="29">
        <f t="shared" si="5"/>
        <v>0</v>
      </c>
      <c r="S59" s="29">
        <f t="shared" si="6"/>
        <v>0</v>
      </c>
      <c r="T59" s="29" t="e">
        <f t="shared" si="7"/>
        <v>#DIV/0!</v>
      </c>
      <c r="U59" s="29" t="e">
        <f t="shared" si="8"/>
        <v>#DIV/0!</v>
      </c>
      <c r="V59" s="29">
        <f t="shared" si="9"/>
        <v>0</v>
      </c>
      <c r="W59" s="29">
        <f t="shared" si="10"/>
        <v>0</v>
      </c>
      <c r="X59" s="29" t="e">
        <f t="shared" si="11"/>
        <v>#DIV/0!</v>
      </c>
      <c r="Y59" s="29" t="e">
        <f t="shared" si="12"/>
        <v>#DIV/0!</v>
      </c>
      <c r="Z59" s="29">
        <f t="shared" si="13"/>
        <v>0</v>
      </c>
      <c r="AA59" s="29">
        <f t="shared" si="14"/>
        <v>0</v>
      </c>
      <c r="AB59" s="29">
        <f t="shared" si="15"/>
        <v>0</v>
      </c>
      <c r="AC59" s="29">
        <f t="shared" si="16"/>
        <v>0</v>
      </c>
      <c r="AD59" s="29" t="e">
        <f t="shared" si="17"/>
        <v>#DIV/0!</v>
      </c>
      <c r="AE59" s="29">
        <f t="shared" si="18"/>
        <v>0</v>
      </c>
    </row>
    <row r="60" spans="1:31" ht="15.95" customHeight="1">
      <c r="B60" s="25"/>
      <c r="C60" s="26"/>
      <c r="D60" s="26"/>
      <c r="E60" s="26"/>
      <c r="F60" s="26"/>
      <c r="G60" s="26"/>
      <c r="H60" s="29">
        <f t="shared" si="0"/>
        <v>0</v>
      </c>
      <c r="I60" s="29" t="e">
        <f t="shared" si="1"/>
        <v>#DIV/0!</v>
      </c>
      <c r="J60" s="26"/>
      <c r="K60" s="26"/>
      <c r="L60" s="26"/>
      <c r="M60" s="26"/>
      <c r="N60" s="26"/>
      <c r="O60" s="29" t="e">
        <f t="shared" si="2"/>
        <v>#DIV/0!</v>
      </c>
      <c r="P60" s="29" t="e">
        <f t="shared" si="3"/>
        <v>#DIV/0!</v>
      </c>
      <c r="Q60" s="29">
        <f t="shared" si="4"/>
        <v>0</v>
      </c>
      <c r="R60" s="29">
        <f t="shared" si="5"/>
        <v>0</v>
      </c>
      <c r="S60" s="29">
        <f t="shared" si="6"/>
        <v>0</v>
      </c>
      <c r="T60" s="29" t="e">
        <f t="shared" si="7"/>
        <v>#DIV/0!</v>
      </c>
      <c r="U60" s="29" t="e">
        <f t="shared" si="8"/>
        <v>#DIV/0!</v>
      </c>
      <c r="V60" s="29">
        <f t="shared" si="9"/>
        <v>0</v>
      </c>
      <c r="W60" s="29">
        <f t="shared" si="10"/>
        <v>0</v>
      </c>
      <c r="X60" s="29" t="e">
        <f t="shared" si="11"/>
        <v>#DIV/0!</v>
      </c>
      <c r="Y60" s="29" t="e">
        <f t="shared" si="12"/>
        <v>#DIV/0!</v>
      </c>
      <c r="Z60" s="29">
        <f t="shared" si="13"/>
        <v>0</v>
      </c>
      <c r="AA60" s="29">
        <f t="shared" si="14"/>
        <v>0</v>
      </c>
      <c r="AB60" s="29">
        <f t="shared" si="15"/>
        <v>0</v>
      </c>
      <c r="AC60" s="29">
        <f t="shared" si="16"/>
        <v>0</v>
      </c>
      <c r="AD60" s="29" t="e">
        <f t="shared" si="17"/>
        <v>#DIV/0!</v>
      </c>
      <c r="AE60" s="29">
        <f t="shared" si="18"/>
        <v>0</v>
      </c>
    </row>
    <row r="61" spans="1:31" ht="15.95" customHeight="1">
      <c r="B61" s="25"/>
      <c r="C61" s="26"/>
      <c r="D61" s="26"/>
      <c r="E61" s="26"/>
      <c r="F61" s="26"/>
      <c r="G61" s="26"/>
      <c r="H61" s="29">
        <f t="shared" si="0"/>
        <v>0</v>
      </c>
      <c r="I61" s="29" t="e">
        <f t="shared" si="1"/>
        <v>#DIV/0!</v>
      </c>
      <c r="J61" s="26"/>
      <c r="K61" s="26"/>
      <c r="L61" s="26"/>
      <c r="M61" s="26"/>
      <c r="N61" s="26"/>
      <c r="O61" s="29" t="e">
        <f t="shared" si="2"/>
        <v>#DIV/0!</v>
      </c>
      <c r="P61" s="29" t="e">
        <f t="shared" si="3"/>
        <v>#DIV/0!</v>
      </c>
      <c r="Q61" s="29">
        <f t="shared" si="4"/>
        <v>0</v>
      </c>
      <c r="R61" s="29">
        <f t="shared" si="5"/>
        <v>0</v>
      </c>
      <c r="S61" s="29">
        <f t="shared" si="6"/>
        <v>0</v>
      </c>
      <c r="T61" s="29" t="e">
        <f t="shared" si="7"/>
        <v>#DIV/0!</v>
      </c>
      <c r="U61" s="29" t="e">
        <f t="shared" si="8"/>
        <v>#DIV/0!</v>
      </c>
      <c r="V61" s="29">
        <f t="shared" si="9"/>
        <v>0</v>
      </c>
      <c r="W61" s="29">
        <f t="shared" si="10"/>
        <v>0</v>
      </c>
      <c r="X61" s="29" t="e">
        <f t="shared" si="11"/>
        <v>#DIV/0!</v>
      </c>
      <c r="Y61" s="29" t="e">
        <f t="shared" si="12"/>
        <v>#DIV/0!</v>
      </c>
      <c r="Z61" s="29">
        <f t="shared" si="13"/>
        <v>0</v>
      </c>
      <c r="AA61" s="29">
        <f t="shared" si="14"/>
        <v>0</v>
      </c>
      <c r="AB61" s="29">
        <f t="shared" si="15"/>
        <v>0</v>
      </c>
      <c r="AC61" s="29">
        <f t="shared" si="16"/>
        <v>0</v>
      </c>
      <c r="AD61" s="29" t="e">
        <f t="shared" si="17"/>
        <v>#DIV/0!</v>
      </c>
      <c r="AE61" s="29">
        <f t="shared" si="18"/>
        <v>0</v>
      </c>
    </row>
    <row r="62" spans="1:31" ht="15.95" customHeight="1">
      <c r="B62" s="25"/>
      <c r="C62" s="26"/>
      <c r="D62" s="26"/>
      <c r="E62" s="26"/>
      <c r="F62" s="26"/>
      <c r="G62" s="26"/>
      <c r="H62" s="29">
        <f t="shared" si="0"/>
        <v>0</v>
      </c>
      <c r="I62" s="29" t="e">
        <f t="shared" si="1"/>
        <v>#DIV/0!</v>
      </c>
      <c r="J62" s="26"/>
      <c r="K62" s="26"/>
      <c r="L62" s="26"/>
      <c r="M62" s="26"/>
      <c r="N62" s="26"/>
      <c r="O62" s="29" t="e">
        <f t="shared" si="2"/>
        <v>#DIV/0!</v>
      </c>
      <c r="P62" s="29" t="e">
        <f t="shared" si="3"/>
        <v>#DIV/0!</v>
      </c>
      <c r="Q62" s="29">
        <f t="shared" si="4"/>
        <v>0</v>
      </c>
      <c r="R62" s="29">
        <f t="shared" si="5"/>
        <v>0</v>
      </c>
      <c r="S62" s="29">
        <f t="shared" si="6"/>
        <v>0</v>
      </c>
      <c r="T62" s="29" t="e">
        <f t="shared" si="7"/>
        <v>#DIV/0!</v>
      </c>
      <c r="U62" s="29" t="e">
        <f t="shared" si="8"/>
        <v>#DIV/0!</v>
      </c>
      <c r="V62" s="29">
        <f t="shared" si="9"/>
        <v>0</v>
      </c>
      <c r="W62" s="29">
        <f t="shared" si="10"/>
        <v>0</v>
      </c>
      <c r="X62" s="29" t="e">
        <f t="shared" si="11"/>
        <v>#DIV/0!</v>
      </c>
      <c r="Y62" s="29" t="e">
        <f t="shared" si="12"/>
        <v>#DIV/0!</v>
      </c>
      <c r="Z62" s="29">
        <f t="shared" si="13"/>
        <v>0</v>
      </c>
      <c r="AA62" s="29">
        <f t="shared" si="14"/>
        <v>0</v>
      </c>
      <c r="AB62" s="29">
        <f t="shared" si="15"/>
        <v>0</v>
      </c>
      <c r="AC62" s="29">
        <f t="shared" si="16"/>
        <v>0</v>
      </c>
      <c r="AD62" s="29" t="e">
        <f t="shared" si="17"/>
        <v>#DIV/0!</v>
      </c>
      <c r="AE62" s="29">
        <f t="shared" si="18"/>
        <v>0</v>
      </c>
    </row>
    <row r="63" spans="1:31" ht="15.95" customHeight="1">
      <c r="B63" s="25"/>
      <c r="C63" s="26"/>
      <c r="D63" s="26"/>
      <c r="E63" s="26"/>
      <c r="F63" s="26"/>
      <c r="G63" s="26"/>
      <c r="H63" s="29">
        <f t="shared" si="0"/>
        <v>0</v>
      </c>
      <c r="I63" s="29" t="e">
        <f t="shared" si="1"/>
        <v>#DIV/0!</v>
      </c>
      <c r="J63" s="26"/>
      <c r="K63" s="26"/>
      <c r="L63" s="26"/>
      <c r="M63" s="26"/>
      <c r="N63" s="26"/>
      <c r="O63" s="29" t="e">
        <f t="shared" si="2"/>
        <v>#DIV/0!</v>
      </c>
      <c r="P63" s="29" t="e">
        <f t="shared" si="3"/>
        <v>#DIV/0!</v>
      </c>
      <c r="Q63" s="29">
        <f t="shared" si="4"/>
        <v>0</v>
      </c>
      <c r="R63" s="29">
        <f t="shared" si="5"/>
        <v>0</v>
      </c>
      <c r="S63" s="29">
        <f t="shared" si="6"/>
        <v>0</v>
      </c>
      <c r="T63" s="29" t="e">
        <f t="shared" si="7"/>
        <v>#DIV/0!</v>
      </c>
      <c r="U63" s="29" t="e">
        <f t="shared" si="8"/>
        <v>#DIV/0!</v>
      </c>
      <c r="V63" s="29">
        <f t="shared" si="9"/>
        <v>0</v>
      </c>
      <c r="W63" s="29">
        <f t="shared" si="10"/>
        <v>0</v>
      </c>
      <c r="X63" s="29" t="e">
        <f t="shared" si="11"/>
        <v>#DIV/0!</v>
      </c>
      <c r="Y63" s="29" t="e">
        <f t="shared" si="12"/>
        <v>#DIV/0!</v>
      </c>
      <c r="Z63" s="29">
        <f t="shared" si="13"/>
        <v>0</v>
      </c>
      <c r="AA63" s="29">
        <f t="shared" si="14"/>
        <v>0</v>
      </c>
      <c r="AB63" s="29">
        <f t="shared" si="15"/>
        <v>0</v>
      </c>
      <c r="AC63" s="29">
        <f t="shared" si="16"/>
        <v>0</v>
      </c>
      <c r="AD63" s="29" t="e">
        <f t="shared" si="17"/>
        <v>#DIV/0!</v>
      </c>
      <c r="AE63" s="29">
        <f t="shared" si="18"/>
        <v>0</v>
      </c>
    </row>
    <row r="64" spans="1:31" ht="15.95" customHeight="1">
      <c r="B64" s="25"/>
      <c r="C64" s="26"/>
      <c r="D64" s="26"/>
      <c r="E64" s="26"/>
      <c r="F64" s="26"/>
      <c r="G64" s="26"/>
      <c r="H64" s="29">
        <f t="shared" si="0"/>
        <v>0</v>
      </c>
      <c r="I64" s="29" t="e">
        <f t="shared" si="1"/>
        <v>#DIV/0!</v>
      </c>
      <c r="J64" s="26"/>
      <c r="K64" s="26"/>
      <c r="L64" s="26"/>
      <c r="M64" s="26"/>
      <c r="N64" s="26"/>
      <c r="O64" s="29" t="e">
        <f t="shared" si="2"/>
        <v>#DIV/0!</v>
      </c>
      <c r="P64" s="29" t="e">
        <f t="shared" si="3"/>
        <v>#DIV/0!</v>
      </c>
      <c r="Q64" s="29">
        <f t="shared" si="4"/>
        <v>0</v>
      </c>
      <c r="R64" s="29">
        <f t="shared" si="5"/>
        <v>0</v>
      </c>
      <c r="S64" s="29">
        <f t="shared" si="6"/>
        <v>0</v>
      </c>
      <c r="T64" s="29" t="e">
        <f t="shared" si="7"/>
        <v>#DIV/0!</v>
      </c>
      <c r="U64" s="29" t="e">
        <f t="shared" si="8"/>
        <v>#DIV/0!</v>
      </c>
      <c r="V64" s="29">
        <f t="shared" si="9"/>
        <v>0</v>
      </c>
      <c r="W64" s="29">
        <f t="shared" si="10"/>
        <v>0</v>
      </c>
      <c r="X64" s="29" t="e">
        <f t="shared" si="11"/>
        <v>#DIV/0!</v>
      </c>
      <c r="Y64" s="29" t="e">
        <f t="shared" si="12"/>
        <v>#DIV/0!</v>
      </c>
      <c r="Z64" s="29">
        <f t="shared" si="13"/>
        <v>0</v>
      </c>
      <c r="AA64" s="29">
        <f t="shared" si="14"/>
        <v>0</v>
      </c>
      <c r="AB64" s="29">
        <f t="shared" si="15"/>
        <v>0</v>
      </c>
      <c r="AC64" s="29">
        <f t="shared" si="16"/>
        <v>0</v>
      </c>
      <c r="AD64" s="29" t="e">
        <f t="shared" si="17"/>
        <v>#DIV/0!</v>
      </c>
      <c r="AE64" s="29">
        <f t="shared" si="18"/>
        <v>0</v>
      </c>
    </row>
    <row r="65" spans="2:31" ht="15.95" customHeight="1">
      <c r="B65" s="27"/>
      <c r="C65" s="28"/>
      <c r="D65" s="28"/>
      <c r="E65" s="28"/>
      <c r="F65" s="28"/>
      <c r="G65" s="28"/>
      <c r="H65" s="29">
        <f t="shared" si="0"/>
        <v>0</v>
      </c>
      <c r="I65" s="29" t="e">
        <f t="shared" si="1"/>
        <v>#DIV/0!</v>
      </c>
      <c r="J65" s="28"/>
      <c r="K65" s="28"/>
      <c r="L65" s="28"/>
      <c r="M65" s="28"/>
      <c r="N65" s="28"/>
      <c r="O65" s="29" t="e">
        <f t="shared" si="2"/>
        <v>#DIV/0!</v>
      </c>
      <c r="P65" s="29" t="e">
        <f t="shared" si="3"/>
        <v>#DIV/0!</v>
      </c>
      <c r="Q65" s="29">
        <f t="shared" si="4"/>
        <v>0</v>
      </c>
      <c r="R65" s="29">
        <f t="shared" si="5"/>
        <v>0</v>
      </c>
      <c r="S65" s="29">
        <f t="shared" si="6"/>
        <v>0</v>
      </c>
      <c r="T65" s="29" t="e">
        <f t="shared" si="7"/>
        <v>#DIV/0!</v>
      </c>
      <c r="U65" s="29" t="e">
        <f t="shared" si="8"/>
        <v>#DIV/0!</v>
      </c>
      <c r="V65" s="29">
        <f t="shared" si="9"/>
        <v>0</v>
      </c>
      <c r="W65" s="29">
        <f t="shared" si="10"/>
        <v>0</v>
      </c>
      <c r="X65" s="29" t="e">
        <f t="shared" si="11"/>
        <v>#DIV/0!</v>
      </c>
      <c r="Y65" s="29" t="e">
        <f t="shared" si="12"/>
        <v>#DIV/0!</v>
      </c>
      <c r="Z65" s="29">
        <f t="shared" si="13"/>
        <v>0</v>
      </c>
      <c r="AA65" s="29">
        <f t="shared" si="14"/>
        <v>0</v>
      </c>
      <c r="AB65" s="29">
        <f t="shared" si="15"/>
        <v>0</v>
      </c>
      <c r="AC65" s="29">
        <f t="shared" si="16"/>
        <v>0</v>
      </c>
      <c r="AD65" s="29" t="e">
        <f t="shared" si="17"/>
        <v>#DIV/0!</v>
      </c>
      <c r="AE65" s="29">
        <f t="shared" si="18"/>
        <v>0</v>
      </c>
    </row>
    <row r="66" spans="2:31" ht="13.5" customHeight="1"/>
    <row r="67" spans="2:31" ht="11.25" customHeight="1" thickBot="1"/>
    <row r="68" spans="2:31" ht="11.25" customHeight="1">
      <c r="B68" s="76" t="s">
        <v>137</v>
      </c>
      <c r="C68" s="77"/>
      <c r="D68" s="54">
        <v>4743</v>
      </c>
      <c r="E68" s="55" t="s">
        <v>138</v>
      </c>
      <c r="F68" s="56">
        <v>120</v>
      </c>
      <c r="G68" s="55" t="s">
        <v>139</v>
      </c>
      <c r="H68" s="57">
        <v>4</v>
      </c>
    </row>
    <row r="69" spans="2:31" ht="12" customHeight="1" thickBot="1">
      <c r="B69" s="78" t="s">
        <v>140</v>
      </c>
      <c r="C69" s="79"/>
      <c r="D69" s="58">
        <v>802</v>
      </c>
      <c r="E69" s="59" t="s">
        <v>138</v>
      </c>
      <c r="F69" s="60">
        <v>90.2</v>
      </c>
      <c r="G69" s="59" t="s">
        <v>139</v>
      </c>
      <c r="H69" s="61">
        <v>1.34</v>
      </c>
    </row>
    <row r="73" spans="2:31" ht="14.25" thickBot="1">
      <c r="H73" s="62"/>
      <c r="I73" s="80" t="s">
        <v>141</v>
      </c>
      <c r="J73" s="80"/>
      <c r="K73" s="80"/>
      <c r="L73" s="80"/>
      <c r="M73" s="80"/>
      <c r="N73" s="80"/>
      <c r="O73" s="63"/>
    </row>
    <row r="74" spans="2:31">
      <c r="H74" s="64"/>
      <c r="I74" s="65"/>
      <c r="J74" s="65"/>
      <c r="K74" s="65"/>
      <c r="L74" s="65"/>
      <c r="M74" s="65"/>
      <c r="N74" s="65"/>
      <c r="O74" s="66"/>
    </row>
    <row r="75" spans="2:31" ht="13.5" thickBot="1">
      <c r="H75" s="67"/>
      <c r="I75" s="68"/>
      <c r="J75" s="68"/>
      <c r="K75" s="68"/>
      <c r="L75" s="68"/>
      <c r="M75" s="68"/>
      <c r="N75" s="68"/>
      <c r="O75" s="69"/>
    </row>
    <row r="76" spans="2:31" ht="13.5" thickBot="1">
      <c r="H76" s="67"/>
      <c r="I76" s="68"/>
      <c r="J76" s="68"/>
      <c r="K76" s="68"/>
      <c r="L76" s="68"/>
      <c r="M76" s="70">
        <v>843.5</v>
      </c>
      <c r="N76" s="71" t="s">
        <v>142</v>
      </c>
      <c r="O76" s="69"/>
    </row>
    <row r="77" spans="2:31" ht="13.5" thickBot="1">
      <c r="H77" s="67"/>
      <c r="I77" s="68"/>
      <c r="J77" s="68"/>
      <c r="K77" s="68"/>
      <c r="L77" s="68"/>
      <c r="M77" s="71"/>
      <c r="N77" s="71"/>
      <c r="O77" s="69"/>
    </row>
    <row r="78" spans="2:31" ht="13.5" thickBot="1">
      <c r="H78" s="67"/>
      <c r="I78" s="68"/>
      <c r="J78" s="68"/>
      <c r="K78" s="68"/>
      <c r="L78" s="68"/>
      <c r="M78" s="70">
        <f>Y32/M76</f>
        <v>0</v>
      </c>
      <c r="N78" s="71" t="s">
        <v>143</v>
      </c>
      <c r="O78" s="69"/>
    </row>
    <row r="79" spans="2:31">
      <c r="H79" s="67"/>
      <c r="I79" s="68"/>
      <c r="J79" s="68"/>
      <c r="K79" s="68"/>
      <c r="L79" s="68"/>
      <c r="M79" s="68"/>
      <c r="N79" s="68"/>
      <c r="O79" s="69"/>
    </row>
    <row r="80" spans="2:31" ht="13.5" thickBot="1">
      <c r="H80" s="67"/>
      <c r="I80" s="68"/>
      <c r="J80" s="68"/>
      <c r="K80" s="68"/>
      <c r="L80" s="68"/>
      <c r="M80" s="68"/>
      <c r="N80" s="68"/>
      <c r="O80" s="69"/>
    </row>
    <row r="81" spans="8:15" ht="13.5" thickBot="1">
      <c r="H81" s="67"/>
      <c r="I81" s="68"/>
      <c r="J81" s="68"/>
      <c r="K81" s="68"/>
      <c r="L81" s="68"/>
      <c r="M81" s="70">
        <f>((M78/60)/2000)*10^9</f>
        <v>0</v>
      </c>
      <c r="N81" s="71" t="s">
        <v>144</v>
      </c>
      <c r="O81" s="69"/>
    </row>
    <row r="82" spans="8:15">
      <c r="H82" s="67"/>
      <c r="I82" s="68"/>
      <c r="J82" s="68"/>
      <c r="K82" s="68"/>
      <c r="L82" s="68"/>
      <c r="M82" s="71"/>
      <c r="N82" s="71"/>
      <c r="O82" s="69"/>
    </row>
    <row r="83" spans="8:15" ht="13.5" thickBot="1">
      <c r="H83" s="67"/>
      <c r="I83" s="68"/>
      <c r="J83" s="68"/>
      <c r="K83" s="68"/>
      <c r="L83" s="68"/>
      <c r="M83" s="71"/>
      <c r="N83" s="71"/>
      <c r="O83" s="69"/>
    </row>
    <row r="84" spans="8:15" ht="13.5" thickBot="1">
      <c r="H84" s="67"/>
      <c r="I84" s="68"/>
      <c r="J84" s="68"/>
      <c r="K84" s="68"/>
      <c r="L84" s="68"/>
      <c r="M84" s="70">
        <f>M81/4</f>
        <v>0</v>
      </c>
      <c r="N84" s="71" t="s">
        <v>136</v>
      </c>
      <c r="O84" s="69"/>
    </row>
    <row r="85" spans="8:15">
      <c r="H85" s="67"/>
      <c r="I85" s="68"/>
      <c r="J85" s="68"/>
      <c r="K85" s="68"/>
      <c r="L85" s="68"/>
      <c r="M85" s="71"/>
      <c r="N85" s="71"/>
      <c r="O85" s="69"/>
    </row>
    <row r="86" spans="8:15">
      <c r="H86" s="67"/>
      <c r="I86" s="68"/>
      <c r="J86" s="68"/>
      <c r="K86" s="68"/>
      <c r="L86" s="68"/>
      <c r="M86" s="72"/>
      <c r="N86" s="72"/>
      <c r="O86" s="69"/>
    </row>
    <row r="87" spans="8:15" ht="13.5" thickBot="1">
      <c r="H87" s="73"/>
      <c r="I87" s="74"/>
      <c r="J87" s="74"/>
      <c r="K87" s="74"/>
      <c r="L87" s="74"/>
      <c r="M87" s="74"/>
      <c r="N87" s="74"/>
      <c r="O87" s="75"/>
    </row>
  </sheetData>
  <mergeCells count="126">
    <mergeCell ref="X17:X18"/>
    <mergeCell ref="AB42:AB43"/>
    <mergeCell ref="AC42:AC43"/>
    <mergeCell ref="AD42:AD43"/>
    <mergeCell ref="AE42:AE43"/>
    <mergeCell ref="S2:V2"/>
    <mergeCell ref="V3:Y3"/>
    <mergeCell ref="B5:D5"/>
    <mergeCell ref="E5:G5"/>
    <mergeCell ref="H5:J5"/>
    <mergeCell ref="V5:Y5"/>
    <mergeCell ref="K5:L5"/>
    <mergeCell ref="V6:Y6"/>
    <mergeCell ref="B7:D7"/>
    <mergeCell ref="E7:G7"/>
    <mergeCell ref="I2:R3"/>
    <mergeCell ref="B6:D6"/>
    <mergeCell ref="E6:G6"/>
    <mergeCell ref="H6:J6"/>
    <mergeCell ref="K6:L6"/>
    <mergeCell ref="M5:O5"/>
    <mergeCell ref="M6:O6"/>
    <mergeCell ref="P5:R5"/>
    <mergeCell ref="P6:R6"/>
    <mergeCell ref="S5:U5"/>
    <mergeCell ref="S6:U6"/>
    <mergeCell ref="H7:J7"/>
    <mergeCell ref="V7:Y7"/>
    <mergeCell ref="K7:L7"/>
    <mergeCell ref="B17:B18"/>
    <mergeCell ref="C17:C18"/>
    <mergeCell ref="D17:P17"/>
    <mergeCell ref="B42:B43"/>
    <mergeCell ref="C42:C43"/>
    <mergeCell ref="D42:E42"/>
    <mergeCell ref="H42:I42"/>
    <mergeCell ref="F42:F43"/>
    <mergeCell ref="G42:G44"/>
    <mergeCell ref="J42:J43"/>
    <mergeCell ref="K42:K43"/>
    <mergeCell ref="M7:O7"/>
    <mergeCell ref="P7:R7"/>
    <mergeCell ref="S7:U7"/>
    <mergeCell ref="B15:D15"/>
    <mergeCell ref="E15:G15"/>
    <mergeCell ref="H15:J15"/>
    <mergeCell ref="B9:D9"/>
    <mergeCell ref="B10:D10"/>
    <mergeCell ref="E8:G8"/>
    <mergeCell ref="B8:D8"/>
    <mergeCell ref="H8:J8"/>
    <mergeCell ref="B11:D11"/>
    <mergeCell ref="H9:J9"/>
    <mergeCell ref="H10:J10"/>
    <mergeCell ref="E9:G9"/>
    <mergeCell ref="E10:G10"/>
    <mergeCell ref="E11:G11"/>
    <mergeCell ref="K15:L15"/>
    <mergeCell ref="M15:O15"/>
    <mergeCell ref="P13:R13"/>
    <mergeCell ref="P12:R12"/>
    <mergeCell ref="V9:Y9"/>
    <mergeCell ref="V10:Y10"/>
    <mergeCell ref="V11:Y11"/>
    <mergeCell ref="K10:L10"/>
    <mergeCell ref="S10:U10"/>
    <mergeCell ref="S11:U11"/>
    <mergeCell ref="K11:L11"/>
    <mergeCell ref="M10:O10"/>
    <mergeCell ref="M11:O11"/>
    <mergeCell ref="P11:R11"/>
    <mergeCell ref="P10:R10"/>
    <mergeCell ref="M8:O8"/>
    <mergeCell ref="V8:Y8"/>
    <mergeCell ref="P9:R9"/>
    <mergeCell ref="P8:R8"/>
    <mergeCell ref="K8:L8"/>
    <mergeCell ref="K9:L9"/>
    <mergeCell ref="S8:U8"/>
    <mergeCell ref="S9:U9"/>
    <mergeCell ref="M9:O9"/>
    <mergeCell ref="V14:Y14"/>
    <mergeCell ref="V12:Y12"/>
    <mergeCell ref="P14:R14"/>
    <mergeCell ref="B12:D12"/>
    <mergeCell ref="E12:G12"/>
    <mergeCell ref="H12:J12"/>
    <mergeCell ref="B13:D13"/>
    <mergeCell ref="B14:D14"/>
    <mergeCell ref="K12:L12"/>
    <mergeCell ref="K13:L13"/>
    <mergeCell ref="M12:O12"/>
    <mergeCell ref="M13:O13"/>
    <mergeCell ref="K14:L14"/>
    <mergeCell ref="M14:O14"/>
    <mergeCell ref="H13:J13"/>
    <mergeCell ref="H14:J14"/>
    <mergeCell ref="E13:G13"/>
    <mergeCell ref="E14:G14"/>
    <mergeCell ref="S12:U12"/>
    <mergeCell ref="S13:U13"/>
    <mergeCell ref="S14:U14"/>
    <mergeCell ref="B68:C68"/>
    <mergeCell ref="B69:C69"/>
    <mergeCell ref="I73:N73"/>
    <mergeCell ref="Z42:Z43"/>
    <mergeCell ref="AA42:AA43"/>
    <mergeCell ref="H11:J11"/>
    <mergeCell ref="X42:X43"/>
    <mergeCell ref="Y42:Y43"/>
    <mergeCell ref="Y17:Y18"/>
    <mergeCell ref="R42:R43"/>
    <mergeCell ref="S42:S43"/>
    <mergeCell ref="T42:T43"/>
    <mergeCell ref="U42:U43"/>
    <mergeCell ref="V42:V43"/>
    <mergeCell ref="W42:W43"/>
    <mergeCell ref="P15:Y15"/>
    <mergeCell ref="Q17:W17"/>
    <mergeCell ref="L42:L43"/>
    <mergeCell ref="M42:M43"/>
    <mergeCell ref="N42:N43"/>
    <mergeCell ref="O42:O43"/>
    <mergeCell ref="P42:P43"/>
    <mergeCell ref="Q42:Q43"/>
    <mergeCell ref="V13:Y13"/>
  </mergeCells>
  <pageMargins left="0" right="0" top="0.5" bottom="0" header="0.3" footer="0.3"/>
  <pageSetup scale="7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D22"/>
  <sheetViews>
    <sheetView workbookViewId="0"/>
  </sheetViews>
  <sheetFormatPr defaultRowHeight="15"/>
  <cols>
    <col min="3" max="3" width="13" customWidth="1"/>
    <col min="4" max="4" width="12.28515625" customWidth="1"/>
  </cols>
  <sheetData>
    <row r="3" spans="2:4">
      <c r="B3" s="4" t="s">
        <v>14</v>
      </c>
      <c r="C3" s="4" t="s">
        <v>16</v>
      </c>
      <c r="D3" s="4" t="s">
        <v>17</v>
      </c>
    </row>
    <row r="4" spans="2:4">
      <c r="B4" s="3" t="e">
        <f>Performance!#REF!</f>
        <v>#REF!</v>
      </c>
      <c r="C4" s="3" t="e">
        <f>Performance!#REF!</f>
        <v>#REF!</v>
      </c>
      <c r="D4" s="5" t="e">
        <f>(2*3.142*B4*C4)/(4500*9.81)</f>
        <v>#REF!</v>
      </c>
    </row>
    <row r="5" spans="2:4">
      <c r="B5" s="3" t="e">
        <f>Performance!#REF!</f>
        <v>#REF!</v>
      </c>
      <c r="C5" s="3" t="e">
        <f>Performance!#REF!</f>
        <v>#REF!</v>
      </c>
      <c r="D5" s="5" t="e">
        <f t="shared" ref="D5:D21" si="0">(2*3.142*B5*C5)/(4500*9.81)</f>
        <v>#REF!</v>
      </c>
    </row>
    <row r="6" spans="2:4">
      <c r="B6" s="3" t="e">
        <f>Performance!#REF!</f>
        <v>#REF!</v>
      </c>
      <c r="C6" s="3" t="e">
        <f>Performance!#REF!</f>
        <v>#REF!</v>
      </c>
      <c r="D6" s="5" t="e">
        <f t="shared" si="0"/>
        <v>#REF!</v>
      </c>
    </row>
    <row r="7" spans="2:4">
      <c r="B7" s="3" t="e">
        <f>Performance!#REF!</f>
        <v>#REF!</v>
      </c>
      <c r="C7" s="3" t="e">
        <f>Performance!#REF!</f>
        <v>#REF!</v>
      </c>
      <c r="D7" s="5" t="e">
        <f t="shared" si="0"/>
        <v>#REF!</v>
      </c>
    </row>
    <row r="8" spans="2:4">
      <c r="B8" s="3" t="e">
        <f>Performance!#REF!</f>
        <v>#REF!</v>
      </c>
      <c r="C8" s="3" t="e">
        <f>Performance!#REF!</f>
        <v>#REF!</v>
      </c>
      <c r="D8" s="5" t="e">
        <f t="shared" si="0"/>
        <v>#REF!</v>
      </c>
    </row>
    <row r="9" spans="2:4">
      <c r="B9" s="3" t="e">
        <f>Performance!#REF!</f>
        <v>#REF!</v>
      </c>
      <c r="C9" s="3" t="e">
        <f>Performance!#REF!</f>
        <v>#REF!</v>
      </c>
      <c r="D9" s="5" t="e">
        <f t="shared" si="0"/>
        <v>#REF!</v>
      </c>
    </row>
    <row r="10" spans="2:4">
      <c r="B10" s="3" t="e">
        <f>Performance!#REF!</f>
        <v>#REF!</v>
      </c>
      <c r="C10" s="3" t="e">
        <f>Performance!#REF!</f>
        <v>#REF!</v>
      </c>
      <c r="D10" s="5" t="e">
        <f t="shared" si="0"/>
        <v>#REF!</v>
      </c>
    </row>
    <row r="11" spans="2:4">
      <c r="B11" s="3" t="e">
        <f>Performance!#REF!</f>
        <v>#REF!</v>
      </c>
      <c r="C11" s="3" t="e">
        <f>Performance!#REF!</f>
        <v>#REF!</v>
      </c>
      <c r="D11" s="5" t="e">
        <f t="shared" si="0"/>
        <v>#REF!</v>
      </c>
    </row>
    <row r="12" spans="2:4">
      <c r="B12" s="3" t="e">
        <f>Performance!#REF!</f>
        <v>#REF!</v>
      </c>
      <c r="C12" s="3" t="e">
        <f>Performance!#REF!</f>
        <v>#REF!</v>
      </c>
      <c r="D12" s="5" t="e">
        <f t="shared" si="0"/>
        <v>#REF!</v>
      </c>
    </row>
    <row r="13" spans="2:4">
      <c r="B13" s="3" t="e">
        <f>Performance!#REF!</f>
        <v>#REF!</v>
      </c>
      <c r="C13" s="3" t="e">
        <f>Performance!#REF!</f>
        <v>#REF!</v>
      </c>
      <c r="D13" s="5" t="e">
        <f t="shared" si="0"/>
        <v>#REF!</v>
      </c>
    </row>
    <row r="14" spans="2:4">
      <c r="B14" s="3" t="e">
        <f>Performance!#REF!</f>
        <v>#REF!</v>
      </c>
      <c r="C14" s="3" t="e">
        <f>Performance!#REF!</f>
        <v>#REF!</v>
      </c>
      <c r="D14" s="5" t="e">
        <f t="shared" si="0"/>
        <v>#REF!</v>
      </c>
    </row>
    <row r="15" spans="2:4">
      <c r="B15" s="3" t="e">
        <f>Performance!#REF!</f>
        <v>#REF!</v>
      </c>
      <c r="C15" s="3" t="e">
        <f>Performance!#REF!</f>
        <v>#REF!</v>
      </c>
      <c r="D15" s="5" t="e">
        <f t="shared" si="0"/>
        <v>#REF!</v>
      </c>
    </row>
    <row r="16" spans="2:4">
      <c r="B16" s="3" t="e">
        <f>Performance!#REF!</f>
        <v>#REF!</v>
      </c>
      <c r="C16" s="3" t="e">
        <f>Performance!#REF!</f>
        <v>#REF!</v>
      </c>
      <c r="D16" s="5" t="e">
        <f t="shared" si="0"/>
        <v>#REF!</v>
      </c>
    </row>
    <row r="17" spans="2:4">
      <c r="B17" s="3" t="e">
        <f>Performance!#REF!</f>
        <v>#REF!</v>
      </c>
      <c r="C17" s="3" t="e">
        <f>Performance!#REF!</f>
        <v>#REF!</v>
      </c>
      <c r="D17" s="5" t="e">
        <f t="shared" si="0"/>
        <v>#REF!</v>
      </c>
    </row>
    <row r="18" spans="2:4">
      <c r="B18" s="3" t="e">
        <f>Performance!#REF!</f>
        <v>#REF!</v>
      </c>
      <c r="C18" s="3" t="e">
        <f>Performance!#REF!</f>
        <v>#REF!</v>
      </c>
      <c r="D18" s="5" t="e">
        <f t="shared" si="0"/>
        <v>#REF!</v>
      </c>
    </row>
    <row r="19" spans="2:4">
      <c r="B19" s="3" t="e">
        <f>Performance!#REF!</f>
        <v>#REF!</v>
      </c>
      <c r="C19" s="3" t="e">
        <f>Performance!#REF!</f>
        <v>#REF!</v>
      </c>
      <c r="D19" s="5" t="e">
        <f t="shared" si="0"/>
        <v>#REF!</v>
      </c>
    </row>
    <row r="20" spans="2:4">
      <c r="B20" s="3" t="e">
        <f>Performance!#REF!</f>
        <v>#REF!</v>
      </c>
      <c r="C20" s="3" t="e">
        <f>Performance!#REF!</f>
        <v>#REF!</v>
      </c>
      <c r="D20" s="5" t="e">
        <f t="shared" si="0"/>
        <v>#REF!</v>
      </c>
    </row>
    <row r="21" spans="2:4">
      <c r="B21" s="3">
        <f>Performance!B41</f>
        <v>0</v>
      </c>
      <c r="C21" s="3">
        <f>Performance!C41</f>
        <v>0</v>
      </c>
      <c r="D21" s="5">
        <f t="shared" si="0"/>
        <v>0</v>
      </c>
    </row>
    <row r="22" spans="2:4" ht="11.25" customHeigh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2" sqref="A2:X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VKK-214</dc:creator>
  <cp:lastModifiedBy>Windows User</cp:lastModifiedBy>
  <cp:lastPrinted>2014-05-26T12:02:22Z</cp:lastPrinted>
  <dcterms:created xsi:type="dcterms:W3CDTF">2014-05-26T10:28:40Z</dcterms:created>
  <dcterms:modified xsi:type="dcterms:W3CDTF">2019-03-15T08:16:38Z</dcterms:modified>
</cp:coreProperties>
</file>