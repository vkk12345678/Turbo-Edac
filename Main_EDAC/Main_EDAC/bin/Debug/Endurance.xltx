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0" windowWidth="20490" windowHeight="7905"/>
  </bookViews>
  <sheets>
    <sheet name="Endur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Endurance!$A$1:$Z$31</definedName>
  </definedNames>
  <calcPr calcId="124519"/>
</workbook>
</file>

<file path=xl/calcChain.xml><?xml version="1.0" encoding="utf-8"?>
<calcChain xmlns="http://schemas.openxmlformats.org/spreadsheetml/2006/main">
  <c r="B5" i="2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C4"/>
  <c r="B4"/>
  <c r="D21" l="1"/>
  <c r="D17"/>
  <c r="D13"/>
  <c r="D14"/>
  <c r="D6"/>
  <c r="D5"/>
  <c r="D15"/>
  <c r="D7"/>
  <c r="D9"/>
  <c r="D4"/>
  <c r="D18"/>
  <c r="D19"/>
  <c r="D20"/>
  <c r="D16"/>
  <c r="D12"/>
  <c r="D8"/>
  <c r="D10"/>
  <c r="D11"/>
</calcChain>
</file>

<file path=xl/sharedStrings.xml><?xml version="1.0" encoding="utf-8"?>
<sst xmlns="http://schemas.openxmlformats.org/spreadsheetml/2006/main" count="147" uniqueCount="107">
  <si>
    <t>Engine Performance Sheet</t>
  </si>
  <si>
    <t>R &amp; D Centre,</t>
  </si>
  <si>
    <t>Chennai - 600 011.</t>
  </si>
  <si>
    <t>Date :</t>
  </si>
  <si>
    <t>SF 021  / 7 / 10-03</t>
  </si>
  <si>
    <t>NO</t>
  </si>
  <si>
    <t>YES</t>
  </si>
  <si>
    <t>Nm</t>
  </si>
  <si>
    <t>°C</t>
  </si>
  <si>
    <t>bar</t>
  </si>
  <si>
    <t>Speed</t>
  </si>
  <si>
    <t>rpm</t>
  </si>
  <si>
    <t>Torque (Nm)</t>
  </si>
  <si>
    <t>Power (hp)</t>
  </si>
  <si>
    <t>Turbo Energy Ltd</t>
  </si>
  <si>
    <t>CUSTOMER</t>
  </si>
  <si>
    <t>ENGINE TYPE</t>
  </si>
  <si>
    <t>ENGINE RATING</t>
  </si>
  <si>
    <t>ENGINE SL. NO</t>
  </si>
  <si>
    <t>ENGINE TEST STD</t>
  </si>
  <si>
    <t>NUMBER OF CYL</t>
  </si>
  <si>
    <t>BORE(mm)</t>
  </si>
  <si>
    <t>STROKE(mm)</t>
  </si>
  <si>
    <t>NOZZLE SIZE (mm)</t>
  </si>
  <si>
    <t>M&amp;M</t>
  </si>
  <si>
    <t>2 Cyl. TCIC</t>
  </si>
  <si>
    <t>34KW @ 3750 rpm</t>
  </si>
  <si>
    <t>HLJ6K 49158</t>
  </si>
  <si>
    <t>….</t>
  </si>
  <si>
    <t>ARR. OF CYL</t>
  </si>
  <si>
    <t>SWEPT VOL.(L)</t>
  </si>
  <si>
    <t>0.9 L</t>
  </si>
  <si>
    <t>COMPRESSION RATIO</t>
  </si>
  <si>
    <t>ENGINE COOLANT</t>
  </si>
  <si>
    <t>FUEL INJECTION TIME</t>
  </si>
  <si>
    <t>FIRING ORDER</t>
  </si>
  <si>
    <t>IDLING SPEED(rpm)</t>
  </si>
  <si>
    <t>FUEL INJECTION PUMP</t>
  </si>
  <si>
    <t>Inline</t>
  </si>
  <si>
    <t>F.I.P. S.No.</t>
  </si>
  <si>
    <t>INJECTION PR.(bar)</t>
  </si>
  <si>
    <t xml:space="preserve">FIP NOZZLE TYPE </t>
  </si>
  <si>
    <t>SPRAY HOLE CONFIG</t>
  </si>
  <si>
    <t>EGR CONNECTION</t>
  </si>
  <si>
    <t>Coolent</t>
  </si>
  <si>
    <t>1,2</t>
  </si>
  <si>
    <t>1050RPM</t>
  </si>
  <si>
    <t>PF PUMP</t>
  </si>
  <si>
    <t>max 1450bar</t>
  </si>
  <si>
    <t>Yes</t>
  </si>
  <si>
    <t>FUEL</t>
  </si>
  <si>
    <t>SP.G. OF FUEL</t>
  </si>
  <si>
    <t>ENGINE LUB OIL</t>
  </si>
  <si>
    <t xml:space="preserve">TC MODEL </t>
  </si>
  <si>
    <t>TC SPECIFICATION</t>
  </si>
  <si>
    <t>TC PART NUMBER</t>
  </si>
  <si>
    <t>TC SERIAL NUMBER</t>
  </si>
  <si>
    <t>TC AFTER COOLER</t>
  </si>
  <si>
    <t>AIR FILTER</t>
  </si>
  <si>
    <t>DYNO. TYPE</t>
  </si>
  <si>
    <t>REMARKS</t>
  </si>
  <si>
    <t>DIESEL</t>
  </si>
  <si>
    <t>SAE ISW 40</t>
  </si>
  <si>
    <t>Master Wonder</t>
  </si>
  <si>
    <t>T01-33X68 0.21C-31.2X77 0.18C</t>
  </si>
  <si>
    <t>core no-82</t>
  </si>
  <si>
    <t>ECB 120</t>
  </si>
  <si>
    <t>CELL NO</t>
  </si>
  <si>
    <t>EWO NO</t>
  </si>
  <si>
    <t>TEST NAME</t>
  </si>
  <si>
    <t>AIR COMRESSOR</t>
  </si>
  <si>
    <t>ALTERNATOR</t>
  </si>
  <si>
    <t>COOLING FAN</t>
  </si>
  <si>
    <t>POWER STEERING PUMP</t>
  </si>
  <si>
    <t>DATE OF TEST</t>
  </si>
  <si>
    <t>TESTED BY</t>
  </si>
  <si>
    <t>ENGINEER</t>
  </si>
  <si>
    <t>R.Elango</t>
  </si>
  <si>
    <t>P.RajaRooban</t>
  </si>
  <si>
    <t>11.12.2018</t>
  </si>
  <si>
    <t>Master Wonder_DF10mm_3rd Engine</t>
  </si>
  <si>
    <t>322/18</t>
  </si>
  <si>
    <t>Load</t>
  </si>
  <si>
    <t>T FUEL</t>
  </si>
  <si>
    <t>TWI</t>
  </si>
  <si>
    <t>TWO</t>
  </si>
  <si>
    <t>T OIL</t>
  </si>
  <si>
    <t>T AIR INLET</t>
  </si>
  <si>
    <t>T1</t>
  </si>
  <si>
    <t>T2</t>
  </si>
  <si>
    <t>T2'</t>
  </si>
  <si>
    <t>T3</t>
  </si>
  <si>
    <t>T4</t>
  </si>
  <si>
    <t>T DRY</t>
  </si>
  <si>
    <t xml:space="preserve">T WET </t>
  </si>
  <si>
    <t>T Ambt</t>
  </si>
  <si>
    <t>P OIL</t>
  </si>
  <si>
    <t>P1</t>
  </si>
  <si>
    <t>P2</t>
  </si>
  <si>
    <t>P2'</t>
  </si>
  <si>
    <t>P3</t>
  </si>
  <si>
    <t>P4</t>
  </si>
  <si>
    <t>P Ambt</t>
  </si>
  <si>
    <t>Fuel Flow</t>
  </si>
  <si>
    <t>kg/hr</t>
  </si>
  <si>
    <t>Not_Prog</t>
  </si>
  <si>
    <t>Unit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</si>
</sst>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0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1"/>
      <name val="Times New Roman"/>
      <family val="1"/>
    </font>
    <font>
      <b/>
      <sz val="11"/>
      <color rgb="FF002060"/>
      <name val="Times New Roman"/>
      <family val="1"/>
    </font>
    <font>
      <sz val="11"/>
      <color indexed="8"/>
      <name val="Times New Roman"/>
      <family val="1"/>
    </font>
    <font>
      <sz val="11"/>
      <color indexed="17"/>
      <name val="Times New Roman"/>
      <family val="1"/>
    </font>
    <font>
      <b/>
      <sz val="16"/>
      <color indexed="12"/>
      <name val="Times New Roman"/>
      <family val="1"/>
    </font>
    <font>
      <u/>
      <sz val="18"/>
      <color rgb="FFFF0000"/>
      <name val="Castellar"/>
      <family val="1"/>
    </font>
    <font>
      <sz val="11"/>
      <color indexed="16"/>
      <name val="Calibri"/>
      <family val="2"/>
      <scheme val="minor"/>
    </font>
    <font>
      <sz val="11"/>
      <color rgb="FF3011A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indexed="8"/>
      <name val="Times New Roman"/>
      <family val="1"/>
    </font>
    <font>
      <sz val="9"/>
      <color indexed="16"/>
      <name val="Times New Roman"/>
      <family val="1"/>
    </font>
    <font>
      <sz val="9"/>
      <color indexed="17"/>
      <name val="Times New Roman"/>
      <family val="1"/>
    </font>
    <font>
      <sz val="8"/>
      <color rgb="FF3011A3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6"/>
      <name val="Times New Roman"/>
      <family val="1"/>
    </font>
    <font>
      <sz val="10"/>
      <color indexed="12"/>
      <name val="Times New Roman"/>
      <family val="1"/>
    </font>
    <font>
      <sz val="8"/>
      <color indexed="12"/>
      <name val="Times New Roman"/>
      <family val="1"/>
    </font>
    <font>
      <b/>
      <sz val="10"/>
      <color rgb="FF800000"/>
      <name val="Times New Roman"/>
      <family val="1"/>
    </font>
    <font>
      <sz val="9"/>
      <color rgb="FFFF0000"/>
      <name val="Times New Roman"/>
      <family val="1"/>
    </font>
    <font>
      <sz val="9"/>
      <color indexed="8"/>
      <name val="Book Antiqua"/>
      <family val="1"/>
    </font>
    <font>
      <sz val="7"/>
      <color indexed="8"/>
      <name val="Book Antiqua"/>
      <family val="1"/>
    </font>
    <font>
      <b/>
      <sz val="9"/>
      <color indexed="16"/>
      <name val="Times New Roman"/>
      <family val="1"/>
    </font>
    <font>
      <b/>
      <sz val="10"/>
      <color rgb="FFA50021"/>
      <name val="Times New Roman"/>
      <family val="1"/>
    </font>
    <font>
      <b/>
      <sz val="10"/>
      <color rgb="FFA50021"/>
      <name val="Calibri"/>
      <family val="2"/>
      <scheme val="minor"/>
    </font>
    <font>
      <sz val="10"/>
      <color rgb="FFA50021"/>
      <name val="Calibri"/>
      <family val="2"/>
      <scheme val="minor"/>
    </font>
    <font>
      <sz val="10"/>
      <color rgb="FF3011A3"/>
      <name val="Times New Roman"/>
      <family val="1"/>
    </font>
    <font>
      <sz val="8"/>
      <color rgb="FF3011A3"/>
      <name val="Times New Roman"/>
      <family val="1"/>
    </font>
    <font>
      <b/>
      <sz val="10"/>
      <color rgb="FF3011A3"/>
      <name val="Calibri"/>
      <family val="2"/>
      <scheme val="minor"/>
    </font>
    <font>
      <sz val="10"/>
      <color rgb="FF3011A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2" fillId="0" borderId="0" xfId="0" applyFont="1"/>
    <xf numFmtId="0" fontId="3" fillId="0" borderId="0" xfId="0" applyFont="1" applyBorder="1" applyAlignment="1"/>
    <xf numFmtId="0" fontId="3" fillId="0" borderId="0" xfId="0" applyFont="1"/>
    <xf numFmtId="0" fontId="4" fillId="0" borderId="0" xfId="0" applyFont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164" fontId="8" fillId="2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/>
    <xf numFmtId="164" fontId="8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vertical="center"/>
    </xf>
    <xf numFmtId="0" fontId="0" fillId="0" borderId="15" xfId="0" applyBorder="1"/>
    <xf numFmtId="0" fontId="1" fillId="0" borderId="15" xfId="0" applyFont="1" applyBorder="1"/>
    <xf numFmtId="2" fontId="0" fillId="0" borderId="15" xfId="0" applyNumberFormat="1" applyBorder="1"/>
    <xf numFmtId="0" fontId="8" fillId="0" borderId="0" xfId="0" applyFont="1" applyAlignment="1">
      <alignment horizontal="center"/>
    </xf>
    <xf numFmtId="0" fontId="15" fillId="2" borderId="0" xfId="0" applyFont="1" applyFill="1" applyBorder="1" applyAlignment="1">
      <alignment horizontal="left" vertical="center" wrapText="1"/>
    </xf>
    <xf numFmtId="0" fontId="17" fillId="0" borderId="0" xfId="0" applyFont="1"/>
    <xf numFmtId="0" fontId="0" fillId="0" borderId="0" xfId="0" applyFont="1"/>
    <xf numFmtId="0" fontId="19" fillId="0" borderId="0" xfId="0" applyFont="1"/>
    <xf numFmtId="0" fontId="22" fillId="0" borderId="0" xfId="0" applyFont="1"/>
    <xf numFmtId="164" fontId="5" fillId="2" borderId="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164" fontId="21" fillId="0" borderId="0" xfId="0" applyNumberFormat="1" applyFont="1" applyFill="1" applyBorder="1" applyAlignment="1">
      <alignment horizontal="center" vertical="center" wrapText="1"/>
    </xf>
    <xf numFmtId="2" fontId="25" fillId="0" borderId="0" xfId="0" applyNumberFormat="1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 vertical="center" wrapText="1"/>
    </xf>
    <xf numFmtId="164" fontId="33" fillId="0" borderId="0" xfId="0" applyNumberFormat="1" applyFont="1" applyBorder="1" applyAlignment="1">
      <alignment horizontal="center" vertical="center" wrapText="1"/>
    </xf>
    <xf numFmtId="0" fontId="22" fillId="0" borderId="0" xfId="0" applyFont="1" applyBorder="1"/>
    <xf numFmtId="0" fontId="0" fillId="0" borderId="0" xfId="0" applyFont="1" applyBorder="1"/>
    <xf numFmtId="0" fontId="4" fillId="0" borderId="0" xfId="0" applyFont="1" applyBorder="1"/>
    <xf numFmtId="0" fontId="14" fillId="0" borderId="22" xfId="0" applyFont="1" applyBorder="1" applyAlignment="1">
      <alignment horizontal="left" vertical="center" wrapText="1"/>
    </xf>
    <xf numFmtId="0" fontId="15" fillId="0" borderId="22" xfId="0" applyFont="1" applyBorder="1" applyAlignment="1">
      <alignment horizontal="left" vertical="center" wrapText="1"/>
    </xf>
    <xf numFmtId="0" fontId="15" fillId="0" borderId="22" xfId="0" applyFont="1" applyBorder="1" applyAlignment="1">
      <alignment vertical="center" wrapText="1"/>
    </xf>
    <xf numFmtId="0" fontId="16" fillId="0" borderId="22" xfId="0" applyFont="1" applyBorder="1" applyAlignment="1">
      <alignment horizontal="left" vertical="top" wrapText="1"/>
    </xf>
    <xf numFmtId="0" fontId="2" fillId="0" borderId="0" xfId="0" applyFont="1" applyFill="1"/>
    <xf numFmtId="0" fontId="2" fillId="0" borderId="0" xfId="0" applyFont="1" applyBorder="1"/>
    <xf numFmtId="164" fontId="34" fillId="0" borderId="0" xfId="0" applyNumberFormat="1" applyFont="1" applyBorder="1" applyAlignment="1">
      <alignment horizontal="center" vertical="center" wrapText="1"/>
    </xf>
    <xf numFmtId="165" fontId="21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164" fontId="20" fillId="0" borderId="0" xfId="0" applyNumberFormat="1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4" fontId="21" fillId="0" borderId="0" xfId="0" applyNumberFormat="1" applyFont="1" applyBorder="1" applyAlignment="1">
      <alignment horizontal="center" vertical="center" wrapText="1"/>
    </xf>
    <xf numFmtId="164" fontId="32" fillId="0" borderId="0" xfId="0" applyNumberFormat="1" applyFont="1" applyFill="1" applyBorder="1" applyAlignment="1">
      <alignment horizontal="center" vertical="center" wrapText="1"/>
    </xf>
    <xf numFmtId="165" fontId="32" fillId="0" borderId="0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>
      <alignment vertical="center" wrapText="1"/>
    </xf>
    <xf numFmtId="0" fontId="32" fillId="0" borderId="0" xfId="0" applyFont="1" applyBorder="1" applyAlignment="1">
      <alignment vertical="center" wrapText="1"/>
    </xf>
    <xf numFmtId="2" fontId="32" fillId="0" borderId="0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2" fontId="25" fillId="0" borderId="0" xfId="0" applyNumberFormat="1" applyFont="1" applyBorder="1" applyAlignment="1">
      <alignment horizontal="center" vertical="center"/>
    </xf>
    <xf numFmtId="164" fontId="32" fillId="0" borderId="0" xfId="0" applyNumberFormat="1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9" fillId="0" borderId="25" xfId="0" applyFont="1" applyBorder="1"/>
    <xf numFmtId="0" fontId="18" fillId="0" borderId="27" xfId="0" applyFont="1" applyBorder="1" applyAlignment="1">
      <alignment horizontal="center" vertical="center" wrapText="1"/>
    </xf>
    <xf numFmtId="0" fontId="19" fillId="0" borderId="28" xfId="0" applyFont="1" applyBorder="1"/>
    <xf numFmtId="0" fontId="36" fillId="0" borderId="23" xfId="0" applyFont="1" applyBorder="1" applyAlignment="1">
      <alignment vertical="center" wrapText="1"/>
    </xf>
    <xf numFmtId="0" fontId="36" fillId="0" borderId="24" xfId="0" applyFont="1" applyBorder="1" applyAlignment="1">
      <alignment vertical="center" wrapText="1"/>
    </xf>
    <xf numFmtId="0" fontId="36" fillId="0" borderId="24" xfId="0" applyFont="1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vertical="center"/>
    </xf>
    <xf numFmtId="0" fontId="5" fillId="0" borderId="26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42" fillId="0" borderId="28" xfId="0" applyFont="1" applyBorder="1" applyAlignment="1">
      <alignment vertical="center"/>
    </xf>
    <xf numFmtId="0" fontId="39" fillId="0" borderId="26" xfId="0" applyFont="1" applyBorder="1" applyAlignment="1">
      <alignment vertical="center" wrapText="1"/>
    </xf>
    <xf numFmtId="0" fontId="39" fillId="0" borderId="27" xfId="0" applyFont="1" applyBorder="1" applyAlignment="1">
      <alignment vertical="center" wrapText="1"/>
    </xf>
    <xf numFmtId="0" fontId="40" fillId="0" borderId="27" xfId="0" applyFont="1" applyBorder="1" applyAlignment="1">
      <alignment vertical="center" wrapText="1"/>
    </xf>
    <xf numFmtId="0" fontId="41" fillId="0" borderId="27" xfId="0" applyFont="1" applyBorder="1" applyAlignment="1">
      <alignment vertical="center" wrapText="1"/>
    </xf>
    <xf numFmtId="0" fontId="42" fillId="0" borderId="27" xfId="0" applyFont="1" applyBorder="1" applyAlignment="1">
      <alignment vertical="center" wrapText="1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164" fontId="5" fillId="0" borderId="27" xfId="0" applyNumberFormat="1" applyFont="1" applyBorder="1" applyAlignment="1">
      <alignment horizontal="center" vertical="center" wrapText="1"/>
    </xf>
    <xf numFmtId="164" fontId="23" fillId="0" borderId="27" xfId="0" applyNumberFormat="1" applyFont="1" applyBorder="1" applyAlignment="1">
      <alignment horizontal="center" vertical="center" wrapText="1"/>
    </xf>
    <xf numFmtId="2" fontId="5" fillId="0" borderId="27" xfId="0" applyNumberFormat="1" applyFont="1" applyBorder="1" applyAlignment="1">
      <alignment horizontal="center" vertical="center" wrapText="1"/>
    </xf>
    <xf numFmtId="164" fontId="5" fillId="2" borderId="27" xfId="0" applyNumberFormat="1" applyFont="1" applyFill="1" applyBorder="1" applyAlignment="1">
      <alignment horizontal="center" vertical="center" wrapText="1"/>
    </xf>
    <xf numFmtId="0" fontId="5" fillId="2" borderId="27" xfId="0" applyFont="1" applyFill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left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left" vertical="center" wrapText="1"/>
    </xf>
    <xf numFmtId="0" fontId="26" fillId="2" borderId="9" xfId="0" applyFont="1" applyFill="1" applyBorder="1" applyAlignment="1">
      <alignment horizontal="left" vertical="center" wrapText="1"/>
    </xf>
    <xf numFmtId="0" fontId="15" fillId="0" borderId="6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wrapText="1"/>
    </xf>
    <xf numFmtId="0" fontId="35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4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0" fontId="14" fillId="0" borderId="11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 wrapText="1"/>
    </xf>
    <xf numFmtId="0" fontId="14" fillId="0" borderId="14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14" fillId="0" borderId="16" xfId="0" applyFont="1" applyBorder="1" applyAlignment="1">
      <alignment horizontal="left" vertical="center" wrapText="1"/>
    </xf>
    <xf numFmtId="0" fontId="14" fillId="0" borderId="17" xfId="0" applyFont="1" applyBorder="1" applyAlignment="1">
      <alignment horizontal="left" vertical="center" wrapText="1"/>
    </xf>
    <xf numFmtId="0" fontId="14" fillId="0" borderId="18" xfId="0" applyFont="1" applyBorder="1" applyAlignment="1">
      <alignment horizontal="left" vertical="center" wrapText="1"/>
    </xf>
    <xf numFmtId="0" fontId="15" fillId="0" borderId="12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0" fontId="16" fillId="0" borderId="12" xfId="0" applyFont="1" applyBorder="1" applyAlignment="1">
      <alignment horizontal="left" vertical="top" wrapText="1"/>
    </xf>
    <xf numFmtId="0" fontId="16" fillId="0" borderId="13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5" fillId="2" borderId="6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5" fillId="2" borderId="8" xfId="0" applyFont="1" applyFill="1" applyBorder="1" applyAlignment="1">
      <alignment horizontal="left" vertical="center" wrapText="1"/>
    </xf>
    <xf numFmtId="0" fontId="15" fillId="2" borderId="16" xfId="0" applyFont="1" applyFill="1" applyBorder="1" applyAlignment="1">
      <alignment horizontal="left" vertical="center" wrapText="1"/>
    </xf>
    <xf numFmtId="0" fontId="15" fillId="2" borderId="17" xfId="0" applyFont="1" applyFill="1" applyBorder="1" applyAlignment="1">
      <alignment horizontal="left" vertical="center" wrapText="1"/>
    </xf>
    <xf numFmtId="0" fontId="15" fillId="2" borderId="18" xfId="0" applyFont="1" applyFill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15" fillId="2" borderId="19" xfId="0" applyFont="1" applyFill="1" applyBorder="1" applyAlignment="1">
      <alignment horizontal="left" vertical="center" wrapText="1"/>
    </xf>
    <xf numFmtId="0" fontId="15" fillId="2" borderId="21" xfId="0" applyFont="1" applyFill="1" applyBorder="1" applyAlignment="1">
      <alignment horizontal="left" vertical="center" wrapText="1"/>
    </xf>
    <xf numFmtId="0" fontId="15" fillId="2" borderId="20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011A3"/>
      <color rgb="FFA50021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24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</c:ser>
        <c:axId val="215961600"/>
        <c:axId val="215963520"/>
      </c:scatterChart>
      <c:valAx>
        <c:axId val="215961600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21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5963520"/>
        <c:crosses val="autoZero"/>
        <c:crossBetween val="midCat"/>
        <c:majorUnit val="200"/>
        <c:minorUnit val="100"/>
      </c:valAx>
      <c:valAx>
        <c:axId val="215963520"/>
        <c:scaling>
          <c:orientation val="minMax"/>
          <c:max val="300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5961600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86"/>
          <c:w val="0.83957150394368663"/>
          <c:h val="8.744583397663530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74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34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</c:ser>
        <c:axId val="143701888"/>
        <c:axId val="143704064"/>
      </c:scatterChart>
      <c:valAx>
        <c:axId val="14370188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91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04064"/>
        <c:crosses val="autoZero"/>
        <c:crossBetween val="midCat"/>
        <c:majorUnit val="200"/>
      </c:valAx>
      <c:valAx>
        <c:axId val="143704064"/>
        <c:scaling>
          <c:orientation val="minMax"/>
          <c:max val="10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0188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3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</c:ser>
        <c:axId val="143713792"/>
        <c:axId val="143715712"/>
      </c:scatterChart>
      <c:valAx>
        <c:axId val="14371379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614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15712"/>
        <c:crosses val="autoZero"/>
        <c:crossBetween val="midCat"/>
        <c:majorUnit val="200"/>
      </c:valAx>
      <c:valAx>
        <c:axId val="143715712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13792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97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</c:ser>
        <c:axId val="145003648"/>
        <c:axId val="145005568"/>
      </c:scatterChart>
      <c:valAx>
        <c:axId val="14500364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46"/>
              <c:y val="0.8228436385690850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5005568"/>
        <c:crosses val="autoZero"/>
        <c:crossBetween val="midCat"/>
        <c:majorUnit val="200"/>
      </c:valAx>
      <c:valAx>
        <c:axId val="145005568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5003648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18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63"/>
          <c:y val="0.12403419040175827"/>
          <c:w val="0.76505313442503564"/>
          <c:h val="0.59256856833416005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</c:ser>
        <c:axId val="145015552"/>
        <c:axId val="145017472"/>
      </c:scatterChart>
      <c:valAx>
        <c:axId val="14501555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5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5017472"/>
        <c:crosses val="autoZero"/>
        <c:crossBetween val="midCat"/>
        <c:majorUnit val="200"/>
      </c:valAx>
      <c:valAx>
        <c:axId val="14501747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501555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127"/>
          <c:h val="7.2766724770090829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4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8"/>
          <c:y val="7.2752271350697006E-2"/>
          <c:w val="0.82212815141226558"/>
          <c:h val="0.62572097718554764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</c:ser>
        <c:axId val="203108736"/>
        <c:axId val="203110656"/>
      </c:scatterChart>
      <c:valAx>
        <c:axId val="203108736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89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110656"/>
        <c:crosses val="autoZero"/>
        <c:crossBetween val="midCat"/>
        <c:majorUnit val="200"/>
      </c:valAx>
      <c:valAx>
        <c:axId val="203110656"/>
        <c:scaling>
          <c:orientation val="minMax"/>
          <c:max val="200"/>
          <c:min val="1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108736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63"/>
          <c:w val="0.83957150394368663"/>
          <c:h val="8.024469382272092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E47"/>
  <sheetViews>
    <sheetView showGridLines="0" tabSelected="1" defaultGridColor="0" colorId="57" workbookViewId="0">
      <selection activeCell="Q27" sqref="Q27"/>
    </sheetView>
  </sheetViews>
  <sheetFormatPr defaultRowHeight="15"/>
  <cols>
    <col min="1" max="1" width="3.140625" style="1" customWidth="1"/>
    <col min="2" max="3" width="9.140625" style="1"/>
    <col min="4" max="4" width="7.28515625" style="1" customWidth="1"/>
    <col min="5" max="5" width="7.140625" style="1" customWidth="1"/>
    <col min="6" max="6" width="12.140625" style="1" customWidth="1"/>
    <col min="7" max="7" width="10" style="1" customWidth="1"/>
    <col min="8" max="8" width="7.7109375" style="1" customWidth="1"/>
    <col min="9" max="9" width="7.42578125" style="1" customWidth="1"/>
    <col min="10" max="10" width="7.85546875" style="1" customWidth="1"/>
    <col min="11" max="11" width="8" style="1" customWidth="1"/>
    <col min="12" max="12" width="9.5703125" style="1" customWidth="1"/>
    <col min="13" max="13" width="11.42578125" style="1" customWidth="1"/>
    <col min="14" max="14" width="6.7109375" style="1" customWidth="1"/>
    <col min="15" max="15" width="7.5703125" style="1" customWidth="1"/>
    <col min="16" max="16" width="9.28515625" style="1" customWidth="1"/>
    <col min="17" max="17" width="6.7109375" style="1" customWidth="1"/>
    <col min="18" max="18" width="9.85546875" style="1" customWidth="1"/>
    <col min="19" max="19" width="7.7109375" style="1" customWidth="1"/>
    <col min="20" max="20" width="8.140625" style="1" customWidth="1"/>
    <col min="21" max="21" width="9.5703125" style="1" customWidth="1"/>
    <col min="22" max="22" width="8.5703125" style="1" customWidth="1"/>
    <col min="23" max="23" width="7.140625" style="1" customWidth="1"/>
    <col min="24" max="24" width="11" style="1" customWidth="1"/>
    <col min="25" max="31" width="11.7109375" style="1" customWidth="1"/>
    <col min="32" max="16384" width="9.140625" style="1"/>
  </cols>
  <sheetData>
    <row r="1" spans="2:31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2:31" ht="20.25">
      <c r="B2" s="3"/>
      <c r="C2" s="28" t="s">
        <v>14</v>
      </c>
      <c r="D2" s="28"/>
      <c r="E2" s="28"/>
      <c r="F2" s="6"/>
      <c r="G2" s="6"/>
      <c r="H2" s="3"/>
      <c r="I2" s="133" t="s">
        <v>0</v>
      </c>
      <c r="J2" s="133"/>
      <c r="K2" s="133"/>
      <c r="L2" s="133"/>
      <c r="M2" s="133"/>
      <c r="N2" s="133"/>
      <c r="O2" s="133"/>
      <c r="P2" s="133"/>
      <c r="Q2" s="133"/>
      <c r="R2" s="133"/>
      <c r="S2" s="124" t="s">
        <v>1</v>
      </c>
      <c r="T2" s="124"/>
      <c r="U2" s="124"/>
      <c r="V2" s="124"/>
      <c r="W2" s="39"/>
      <c r="X2" s="40"/>
      <c r="Y2" s="7"/>
      <c r="Z2" s="7"/>
      <c r="AA2" s="7"/>
      <c r="AB2" s="7"/>
      <c r="AC2" s="7"/>
      <c r="AD2" s="7"/>
      <c r="AE2" s="3"/>
    </row>
    <row r="3" spans="2:31">
      <c r="B3" s="3"/>
      <c r="C3" s="8" t="s">
        <v>2</v>
      </c>
      <c r="D3" s="9"/>
      <c r="E3" s="6"/>
      <c r="F3" s="6"/>
      <c r="G3" s="6"/>
      <c r="H3" s="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0" t="s">
        <v>3</v>
      </c>
      <c r="T3" s="10"/>
      <c r="U3" s="10"/>
      <c r="V3" s="125"/>
      <c r="W3" s="125"/>
      <c r="X3" s="125"/>
      <c r="Y3" s="126"/>
      <c r="Z3" s="32"/>
      <c r="AA3" s="41"/>
      <c r="AB3" s="41"/>
      <c r="AC3" s="41"/>
      <c r="AD3" s="41"/>
      <c r="AE3" s="3"/>
    </row>
    <row r="4" spans="2:31">
      <c r="B4" s="3"/>
      <c r="C4" s="8" t="s">
        <v>4</v>
      </c>
      <c r="D4" s="8"/>
      <c r="E4" s="3"/>
      <c r="F4" s="3"/>
      <c r="G4" s="3"/>
      <c r="H4" s="3"/>
      <c r="I4" s="3"/>
      <c r="J4" s="3"/>
      <c r="K4" s="3"/>
      <c r="L4" s="2"/>
      <c r="M4" s="2"/>
      <c r="N4" s="2"/>
      <c r="O4" s="2"/>
      <c r="P4" s="2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2:31" s="35" customFormat="1" ht="15" customHeight="1">
      <c r="B5" s="111" t="s">
        <v>15</v>
      </c>
      <c r="C5" s="112"/>
      <c r="D5" s="113"/>
      <c r="E5" s="127" t="s">
        <v>24</v>
      </c>
      <c r="F5" s="127"/>
      <c r="G5" s="127"/>
      <c r="H5" s="128" t="s">
        <v>32</v>
      </c>
      <c r="I5" s="128"/>
      <c r="J5" s="129"/>
      <c r="K5" s="105" t="s">
        <v>28</v>
      </c>
      <c r="L5" s="107"/>
      <c r="M5" s="134" t="s">
        <v>50</v>
      </c>
      <c r="N5" s="135"/>
      <c r="O5" s="136"/>
      <c r="P5" s="105" t="s">
        <v>61</v>
      </c>
      <c r="Q5" s="106"/>
      <c r="R5" s="107"/>
      <c r="S5" s="111" t="s">
        <v>67</v>
      </c>
      <c r="T5" s="112"/>
      <c r="U5" s="113"/>
      <c r="V5" s="130">
        <v>3</v>
      </c>
      <c r="W5" s="130"/>
      <c r="X5" s="130"/>
      <c r="Y5" s="130"/>
      <c r="Z5" s="33"/>
      <c r="AA5" s="33"/>
      <c r="AB5" s="33"/>
      <c r="AC5" s="33"/>
      <c r="AD5" s="33"/>
      <c r="AE5" s="34"/>
    </row>
    <row r="6" spans="2:31" s="35" customFormat="1" ht="15" customHeight="1">
      <c r="B6" s="114" t="s">
        <v>16</v>
      </c>
      <c r="C6" s="115"/>
      <c r="D6" s="116"/>
      <c r="E6" s="132" t="s">
        <v>25</v>
      </c>
      <c r="F6" s="132"/>
      <c r="G6" s="132"/>
      <c r="H6" s="114" t="s">
        <v>33</v>
      </c>
      <c r="I6" s="115"/>
      <c r="J6" s="117"/>
      <c r="K6" s="108" t="s">
        <v>44</v>
      </c>
      <c r="L6" s="110"/>
      <c r="M6" s="102" t="s">
        <v>51</v>
      </c>
      <c r="N6" s="103"/>
      <c r="O6" s="104"/>
      <c r="P6" s="108">
        <v>0.84350000000000003</v>
      </c>
      <c r="Q6" s="109"/>
      <c r="R6" s="110"/>
      <c r="S6" s="114" t="s">
        <v>68</v>
      </c>
      <c r="T6" s="115"/>
      <c r="U6" s="116"/>
      <c r="V6" s="131" t="s">
        <v>81</v>
      </c>
      <c r="W6" s="131"/>
      <c r="X6" s="131"/>
      <c r="Y6" s="131"/>
      <c r="Z6" s="33"/>
      <c r="AA6" s="33"/>
      <c r="AB6" s="33"/>
      <c r="AC6" s="33"/>
      <c r="AD6" s="33"/>
      <c r="AE6" s="34"/>
    </row>
    <row r="7" spans="2:31" s="35" customFormat="1" ht="15" customHeight="1">
      <c r="B7" s="114" t="s">
        <v>17</v>
      </c>
      <c r="C7" s="115"/>
      <c r="D7" s="116"/>
      <c r="E7" s="132" t="s">
        <v>26</v>
      </c>
      <c r="F7" s="132"/>
      <c r="G7" s="132"/>
      <c r="H7" s="114" t="s">
        <v>34</v>
      </c>
      <c r="I7" s="115"/>
      <c r="J7" s="117"/>
      <c r="K7" s="119" t="s">
        <v>28</v>
      </c>
      <c r="L7" s="120"/>
      <c r="M7" s="102" t="s">
        <v>52</v>
      </c>
      <c r="N7" s="103"/>
      <c r="O7" s="104"/>
      <c r="P7" s="108" t="s">
        <v>62</v>
      </c>
      <c r="Q7" s="109"/>
      <c r="R7" s="110"/>
      <c r="S7" s="114" t="s">
        <v>69</v>
      </c>
      <c r="T7" s="115"/>
      <c r="U7" s="116"/>
      <c r="V7" s="118" t="s">
        <v>80</v>
      </c>
      <c r="W7" s="118"/>
      <c r="X7" s="118"/>
      <c r="Y7" s="118"/>
      <c r="Z7" s="33"/>
      <c r="AA7" s="33"/>
      <c r="AB7" s="33"/>
      <c r="AC7" s="33"/>
      <c r="AD7" s="33"/>
      <c r="AE7" s="34"/>
    </row>
    <row r="8" spans="2:31" s="35" customFormat="1" ht="15" customHeight="1">
      <c r="B8" s="114" t="s">
        <v>18</v>
      </c>
      <c r="C8" s="115"/>
      <c r="D8" s="116"/>
      <c r="E8" s="142" t="s">
        <v>27</v>
      </c>
      <c r="F8" s="143"/>
      <c r="G8" s="144"/>
      <c r="H8" s="145" t="s">
        <v>35</v>
      </c>
      <c r="I8" s="146"/>
      <c r="J8" s="147"/>
      <c r="K8" s="119" t="s">
        <v>45</v>
      </c>
      <c r="L8" s="120"/>
      <c r="M8" s="102" t="s">
        <v>53</v>
      </c>
      <c r="N8" s="103"/>
      <c r="O8" s="104"/>
      <c r="P8" s="108" t="s">
        <v>63</v>
      </c>
      <c r="Q8" s="109"/>
      <c r="R8" s="110"/>
      <c r="S8" s="114" t="s">
        <v>70</v>
      </c>
      <c r="T8" s="115"/>
      <c r="U8" s="116"/>
      <c r="V8" s="156" t="s">
        <v>5</v>
      </c>
      <c r="W8" s="157"/>
      <c r="X8" s="157"/>
      <c r="Y8" s="158"/>
      <c r="Z8" s="33"/>
      <c r="AA8" s="33"/>
      <c r="AB8" s="33"/>
      <c r="AC8" s="33"/>
      <c r="AD8" s="33"/>
      <c r="AE8" s="34"/>
    </row>
    <row r="9" spans="2:31" s="35" customFormat="1" ht="15" customHeight="1">
      <c r="B9" s="114" t="s">
        <v>19</v>
      </c>
      <c r="C9" s="115"/>
      <c r="D9" s="116"/>
      <c r="E9" s="108" t="s">
        <v>28</v>
      </c>
      <c r="F9" s="109"/>
      <c r="G9" s="110"/>
      <c r="H9" s="114" t="s">
        <v>36</v>
      </c>
      <c r="I9" s="115"/>
      <c r="J9" s="116"/>
      <c r="K9" s="119" t="s">
        <v>46</v>
      </c>
      <c r="L9" s="120"/>
      <c r="M9" s="102" t="s">
        <v>54</v>
      </c>
      <c r="N9" s="103"/>
      <c r="O9" s="104"/>
      <c r="P9" s="108" t="s">
        <v>64</v>
      </c>
      <c r="Q9" s="109"/>
      <c r="R9" s="110"/>
      <c r="S9" s="114" t="s">
        <v>71</v>
      </c>
      <c r="T9" s="115"/>
      <c r="U9" s="116"/>
      <c r="V9" s="153" t="s">
        <v>6</v>
      </c>
      <c r="W9" s="154"/>
      <c r="X9" s="154"/>
      <c r="Y9" s="155"/>
      <c r="Z9" s="33"/>
      <c r="AA9" s="33"/>
      <c r="AB9" s="33"/>
      <c r="AC9" s="33"/>
      <c r="AD9" s="33"/>
      <c r="AE9" s="34"/>
    </row>
    <row r="10" spans="2:31" s="35" customFormat="1" ht="15" customHeight="1">
      <c r="B10" s="114" t="s">
        <v>20</v>
      </c>
      <c r="C10" s="115"/>
      <c r="D10" s="116"/>
      <c r="E10" s="108">
        <v>2</v>
      </c>
      <c r="F10" s="109"/>
      <c r="G10" s="110"/>
      <c r="H10" s="114" t="s">
        <v>37</v>
      </c>
      <c r="I10" s="115"/>
      <c r="J10" s="116"/>
      <c r="K10" s="119" t="s">
        <v>47</v>
      </c>
      <c r="L10" s="120"/>
      <c r="M10" s="102" t="s">
        <v>55</v>
      </c>
      <c r="N10" s="103"/>
      <c r="O10" s="104"/>
      <c r="P10" s="108">
        <v>603129021407</v>
      </c>
      <c r="Q10" s="109"/>
      <c r="R10" s="110"/>
      <c r="S10" s="114" t="s">
        <v>72</v>
      </c>
      <c r="T10" s="115"/>
      <c r="U10" s="116"/>
      <c r="V10" s="153" t="s">
        <v>5</v>
      </c>
      <c r="W10" s="154"/>
      <c r="X10" s="154"/>
      <c r="Y10" s="155"/>
      <c r="Z10" s="33"/>
      <c r="AA10" s="33"/>
      <c r="AB10" s="33"/>
      <c r="AC10" s="33"/>
      <c r="AD10" s="33"/>
      <c r="AE10" s="34"/>
    </row>
    <row r="11" spans="2:31" s="35" customFormat="1" ht="15" customHeight="1">
      <c r="B11" s="114" t="s">
        <v>29</v>
      </c>
      <c r="C11" s="115"/>
      <c r="D11" s="116"/>
      <c r="E11" s="108" t="s">
        <v>38</v>
      </c>
      <c r="F11" s="109"/>
      <c r="G11" s="110"/>
      <c r="H11" s="114" t="s">
        <v>39</v>
      </c>
      <c r="I11" s="115"/>
      <c r="J11" s="116"/>
      <c r="K11" s="119" t="s">
        <v>28</v>
      </c>
      <c r="L11" s="120"/>
      <c r="M11" s="102" t="s">
        <v>56</v>
      </c>
      <c r="N11" s="103"/>
      <c r="O11" s="104"/>
      <c r="P11" s="108" t="s">
        <v>65</v>
      </c>
      <c r="Q11" s="109"/>
      <c r="R11" s="110"/>
      <c r="S11" s="114" t="s">
        <v>73</v>
      </c>
      <c r="T11" s="115"/>
      <c r="U11" s="116"/>
      <c r="V11" s="153" t="s">
        <v>5</v>
      </c>
      <c r="W11" s="154"/>
      <c r="X11" s="154"/>
      <c r="Y11" s="155"/>
      <c r="Z11" s="33"/>
      <c r="AA11" s="33"/>
      <c r="AB11" s="33"/>
      <c r="AC11" s="33"/>
      <c r="AD11" s="33"/>
      <c r="AE11" s="34"/>
    </row>
    <row r="12" spans="2:31" s="35" customFormat="1" ht="15" customHeight="1">
      <c r="B12" s="159" t="s">
        <v>21</v>
      </c>
      <c r="C12" s="159"/>
      <c r="D12" s="159"/>
      <c r="E12" s="132">
        <v>83</v>
      </c>
      <c r="F12" s="132"/>
      <c r="G12" s="132"/>
      <c r="H12" s="114" t="s">
        <v>40</v>
      </c>
      <c r="I12" s="115"/>
      <c r="J12" s="116"/>
      <c r="K12" s="119" t="s">
        <v>48</v>
      </c>
      <c r="L12" s="120"/>
      <c r="M12" s="102" t="s">
        <v>57</v>
      </c>
      <c r="N12" s="103"/>
      <c r="O12" s="104"/>
      <c r="P12" s="108" t="s">
        <v>6</v>
      </c>
      <c r="Q12" s="109"/>
      <c r="R12" s="110"/>
      <c r="S12" s="114" t="s">
        <v>74</v>
      </c>
      <c r="T12" s="115"/>
      <c r="U12" s="116"/>
      <c r="V12" s="131" t="s">
        <v>79</v>
      </c>
      <c r="W12" s="131"/>
      <c r="X12" s="131"/>
      <c r="Y12" s="131"/>
      <c r="Z12" s="33"/>
      <c r="AA12" s="33"/>
      <c r="AB12" s="33"/>
      <c r="AC12" s="33"/>
      <c r="AD12" s="33"/>
      <c r="AE12" s="34"/>
    </row>
    <row r="13" spans="2:31" s="35" customFormat="1" ht="15" customHeight="1">
      <c r="B13" s="114" t="s">
        <v>22</v>
      </c>
      <c r="C13" s="115"/>
      <c r="D13" s="116"/>
      <c r="E13" s="108">
        <v>84</v>
      </c>
      <c r="F13" s="109"/>
      <c r="G13" s="110"/>
      <c r="H13" s="114" t="s">
        <v>41</v>
      </c>
      <c r="I13" s="115"/>
      <c r="J13" s="116"/>
      <c r="K13" s="119" t="s">
        <v>28</v>
      </c>
      <c r="L13" s="120"/>
      <c r="M13" s="102" t="s">
        <v>58</v>
      </c>
      <c r="N13" s="103"/>
      <c r="O13" s="104"/>
      <c r="P13" s="108" t="s">
        <v>6</v>
      </c>
      <c r="Q13" s="109"/>
      <c r="R13" s="110"/>
      <c r="S13" s="114" t="s">
        <v>75</v>
      </c>
      <c r="T13" s="115"/>
      <c r="U13" s="116"/>
      <c r="V13" s="165" t="s">
        <v>78</v>
      </c>
      <c r="W13" s="166"/>
      <c r="X13" s="166"/>
      <c r="Y13" s="167"/>
      <c r="Z13" s="33"/>
      <c r="AA13" s="33"/>
      <c r="AB13" s="33"/>
      <c r="AC13" s="33"/>
      <c r="AD13" s="33"/>
      <c r="AE13" s="34"/>
    </row>
    <row r="14" spans="2:31" s="35" customFormat="1" ht="15" customHeight="1">
      <c r="B14" s="114" t="s">
        <v>30</v>
      </c>
      <c r="C14" s="115"/>
      <c r="D14" s="116"/>
      <c r="E14" s="108" t="s">
        <v>31</v>
      </c>
      <c r="F14" s="109"/>
      <c r="G14" s="110"/>
      <c r="H14" s="114" t="s">
        <v>42</v>
      </c>
      <c r="I14" s="115"/>
      <c r="J14" s="116"/>
      <c r="K14" s="119" t="s">
        <v>28</v>
      </c>
      <c r="L14" s="120"/>
      <c r="M14" s="102" t="s">
        <v>59</v>
      </c>
      <c r="N14" s="103"/>
      <c r="O14" s="104"/>
      <c r="P14" s="108" t="s">
        <v>66</v>
      </c>
      <c r="Q14" s="109"/>
      <c r="R14" s="110"/>
      <c r="S14" s="114" t="s">
        <v>76</v>
      </c>
      <c r="T14" s="115"/>
      <c r="U14" s="116"/>
      <c r="V14" s="153" t="s">
        <v>77</v>
      </c>
      <c r="W14" s="154"/>
      <c r="X14" s="154"/>
      <c r="Y14" s="155"/>
      <c r="Z14" s="33"/>
      <c r="AA14" s="33"/>
      <c r="AB14" s="33"/>
      <c r="AC14" s="33"/>
      <c r="AD14" s="33"/>
      <c r="AE14" s="34"/>
    </row>
    <row r="15" spans="2:31" s="35" customFormat="1" ht="33" customHeight="1">
      <c r="B15" s="137" t="s">
        <v>23</v>
      </c>
      <c r="C15" s="137"/>
      <c r="D15" s="137"/>
      <c r="E15" s="138">
        <v>30.9</v>
      </c>
      <c r="F15" s="138"/>
      <c r="G15" s="138"/>
      <c r="H15" s="139" t="s">
        <v>43</v>
      </c>
      <c r="I15" s="140"/>
      <c r="J15" s="141"/>
      <c r="K15" s="148" t="s">
        <v>49</v>
      </c>
      <c r="L15" s="149"/>
      <c r="M15" s="150" t="s">
        <v>60</v>
      </c>
      <c r="N15" s="151"/>
      <c r="O15" s="152"/>
      <c r="P15" s="162"/>
      <c r="Q15" s="163"/>
      <c r="R15" s="163"/>
      <c r="S15" s="163"/>
      <c r="T15" s="163"/>
      <c r="U15" s="163"/>
      <c r="V15" s="163"/>
      <c r="W15" s="163"/>
      <c r="X15" s="163"/>
      <c r="Y15" s="164"/>
      <c r="Z15" s="33"/>
      <c r="AA15" s="33"/>
      <c r="AB15" s="33"/>
      <c r="AC15" s="33"/>
      <c r="AD15" s="33"/>
      <c r="AE15" s="34"/>
    </row>
    <row r="16" spans="2:31" s="35" customFormat="1" ht="7.5" customHeight="1" thickBot="1">
      <c r="B16" s="50"/>
      <c r="C16" s="50"/>
      <c r="D16" s="50"/>
      <c r="E16" s="51"/>
      <c r="F16" s="51"/>
      <c r="G16" s="51"/>
      <c r="H16" s="50"/>
      <c r="I16" s="50"/>
      <c r="J16" s="50"/>
      <c r="K16" s="52"/>
      <c r="L16" s="52"/>
      <c r="M16" s="53"/>
      <c r="N16" s="53"/>
      <c r="O16" s="53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33"/>
      <c r="AA16" s="33"/>
      <c r="AB16" s="33"/>
      <c r="AC16" s="33"/>
      <c r="AD16" s="33"/>
      <c r="AE16" s="34"/>
    </row>
    <row r="17" spans="1:31" s="36" customFormat="1" ht="24.75" customHeight="1" thickTop="1">
      <c r="B17" s="78" t="s">
        <v>10</v>
      </c>
      <c r="C17" s="79" t="s">
        <v>82</v>
      </c>
      <c r="D17" s="80" t="s">
        <v>83</v>
      </c>
      <c r="E17" s="80" t="s">
        <v>84</v>
      </c>
      <c r="F17" s="80" t="s">
        <v>85</v>
      </c>
      <c r="G17" s="80" t="s">
        <v>86</v>
      </c>
      <c r="H17" s="80" t="s">
        <v>87</v>
      </c>
      <c r="I17" s="80" t="s">
        <v>88</v>
      </c>
      <c r="J17" s="80" t="s">
        <v>89</v>
      </c>
      <c r="K17" s="80" t="s">
        <v>90</v>
      </c>
      <c r="L17" s="80" t="s">
        <v>91</v>
      </c>
      <c r="M17" s="80" t="s">
        <v>92</v>
      </c>
      <c r="N17" s="80" t="s">
        <v>93</v>
      </c>
      <c r="O17" s="80" t="s">
        <v>94</v>
      </c>
      <c r="P17" s="80" t="s">
        <v>95</v>
      </c>
      <c r="Q17" s="80" t="s">
        <v>96</v>
      </c>
      <c r="R17" s="80" t="s">
        <v>97</v>
      </c>
      <c r="S17" s="80" t="s">
        <v>98</v>
      </c>
      <c r="T17" s="80" t="s">
        <v>99</v>
      </c>
      <c r="U17" s="80" t="s">
        <v>100</v>
      </c>
      <c r="V17" s="80" t="s">
        <v>101</v>
      </c>
      <c r="W17" s="80" t="s">
        <v>102</v>
      </c>
      <c r="X17" s="79" t="s">
        <v>103</v>
      </c>
      <c r="Y17" s="81" t="s">
        <v>105</v>
      </c>
      <c r="Z17" s="81" t="s">
        <v>105</v>
      </c>
      <c r="AA17" s="81" t="s">
        <v>105</v>
      </c>
      <c r="AB17" s="81" t="s">
        <v>105</v>
      </c>
      <c r="AC17" s="81" t="s">
        <v>105</v>
      </c>
      <c r="AD17" s="82" t="s">
        <v>105</v>
      </c>
      <c r="AE17" s="83" t="s">
        <v>105</v>
      </c>
    </row>
    <row r="18" spans="1:31" s="36" customFormat="1" ht="22.5" customHeight="1" thickBot="1">
      <c r="B18" s="87" t="s">
        <v>11</v>
      </c>
      <c r="C18" s="88" t="s">
        <v>7</v>
      </c>
      <c r="D18" s="88" t="s">
        <v>8</v>
      </c>
      <c r="E18" s="88" t="s">
        <v>8</v>
      </c>
      <c r="F18" s="88" t="s">
        <v>8</v>
      </c>
      <c r="G18" s="88" t="s">
        <v>8</v>
      </c>
      <c r="H18" s="88" t="s">
        <v>8</v>
      </c>
      <c r="I18" s="88" t="s">
        <v>8</v>
      </c>
      <c r="J18" s="88" t="s">
        <v>8</v>
      </c>
      <c r="K18" s="88" t="s">
        <v>8</v>
      </c>
      <c r="L18" s="88" t="s">
        <v>8</v>
      </c>
      <c r="M18" s="88" t="s">
        <v>8</v>
      </c>
      <c r="N18" s="88" t="s">
        <v>8</v>
      </c>
      <c r="O18" s="88" t="s">
        <v>8</v>
      </c>
      <c r="P18" s="88" t="s">
        <v>8</v>
      </c>
      <c r="Q18" s="88" t="s">
        <v>9</v>
      </c>
      <c r="R18" s="88" t="s">
        <v>9</v>
      </c>
      <c r="S18" s="88" t="s">
        <v>9</v>
      </c>
      <c r="T18" s="88" t="s">
        <v>9</v>
      </c>
      <c r="U18" s="88" t="s">
        <v>9</v>
      </c>
      <c r="V18" s="88" t="s">
        <v>9</v>
      </c>
      <c r="W18" s="88" t="s">
        <v>9</v>
      </c>
      <c r="X18" s="89" t="s">
        <v>104</v>
      </c>
      <c r="Y18" s="90" t="s">
        <v>106</v>
      </c>
      <c r="Z18" s="90" t="s">
        <v>106</v>
      </c>
      <c r="AA18" s="90" t="s">
        <v>106</v>
      </c>
      <c r="AB18" s="90" t="s">
        <v>106</v>
      </c>
      <c r="AC18" s="90" t="s">
        <v>106</v>
      </c>
      <c r="AD18" s="91" t="s">
        <v>106</v>
      </c>
      <c r="AE18" s="86" t="s">
        <v>106</v>
      </c>
    </row>
    <row r="19" spans="1:31" s="36" customFormat="1" ht="18.75" customHeight="1" thickTop="1">
      <c r="B19" s="92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4"/>
      <c r="Y19" s="95"/>
      <c r="Z19" s="95"/>
      <c r="AA19" s="95"/>
      <c r="AB19" s="95"/>
      <c r="AC19" s="95"/>
      <c r="AD19" s="74"/>
      <c r="AE19" s="75"/>
    </row>
    <row r="20" spans="1:31" s="36" customFormat="1" ht="18.75" customHeight="1" thickBot="1">
      <c r="B20" s="84"/>
      <c r="C20" s="96"/>
      <c r="D20" s="96"/>
      <c r="E20" s="97"/>
      <c r="F20" s="97"/>
      <c r="G20" s="97"/>
      <c r="H20" s="97"/>
      <c r="I20" s="85"/>
      <c r="J20" s="96"/>
      <c r="K20" s="96"/>
      <c r="L20" s="96"/>
      <c r="M20" s="96"/>
      <c r="N20" s="96"/>
      <c r="O20" s="96"/>
      <c r="P20" s="98"/>
      <c r="Q20" s="99"/>
      <c r="R20" s="99"/>
      <c r="S20" s="99"/>
      <c r="T20" s="99"/>
      <c r="U20" s="99"/>
      <c r="V20" s="100"/>
      <c r="W20" s="100"/>
      <c r="X20" s="99"/>
      <c r="Y20" s="101"/>
      <c r="Z20" s="101"/>
      <c r="AA20" s="101"/>
      <c r="AB20" s="101"/>
      <c r="AC20" s="101"/>
      <c r="AD20" s="76"/>
      <c r="AE20" s="77"/>
    </row>
    <row r="21" spans="1:31" s="4" customFormat="1" ht="15" customHeight="1" thickTop="1">
      <c r="A21" s="49"/>
      <c r="B21" s="11"/>
      <c r="C21" s="12"/>
      <c r="D21" s="12"/>
      <c r="E21" s="13"/>
      <c r="F21" s="13"/>
      <c r="G21" s="13"/>
      <c r="H21" s="13"/>
      <c r="I21" s="13"/>
      <c r="J21" s="12"/>
      <c r="K21" s="12"/>
      <c r="L21" s="12"/>
      <c r="M21" s="12"/>
      <c r="N21" s="12"/>
      <c r="O21" s="12"/>
      <c r="P21" s="14"/>
      <c r="Q21" s="15"/>
      <c r="R21" s="15"/>
      <c r="S21" s="15"/>
      <c r="T21" s="15"/>
      <c r="U21" s="15"/>
      <c r="V21" s="16"/>
      <c r="W21" s="16"/>
      <c r="X21" s="16"/>
      <c r="Y21" s="38"/>
      <c r="Z21" s="38"/>
      <c r="AA21" s="38"/>
      <c r="AB21" s="38"/>
      <c r="AC21" s="38"/>
      <c r="AD21" s="5"/>
    </row>
    <row r="22" spans="1:31">
      <c r="B22" s="121"/>
      <c r="C22" s="121"/>
      <c r="D22" s="121"/>
      <c r="E22" s="121"/>
      <c r="F22" s="123"/>
      <c r="G22" s="123"/>
      <c r="H22" s="122"/>
      <c r="I22" s="122"/>
      <c r="J22" s="121"/>
      <c r="K22" s="121"/>
      <c r="L22" s="121"/>
      <c r="M22" s="121"/>
      <c r="N22" s="161"/>
      <c r="O22" s="161"/>
      <c r="P22" s="161"/>
      <c r="Q22" s="161"/>
      <c r="R22" s="161"/>
      <c r="S22" s="160"/>
      <c r="T22" s="160"/>
      <c r="U22" s="160"/>
      <c r="V22" s="160"/>
      <c r="W22" s="160"/>
      <c r="X22" s="160"/>
      <c r="Y22" s="15"/>
      <c r="Z22" s="15"/>
      <c r="AA22" s="15"/>
      <c r="AB22" s="15"/>
      <c r="AC22" s="15"/>
      <c r="AD22" s="15"/>
      <c r="AE22" s="11"/>
    </row>
    <row r="23" spans="1:31" s="35" customFormat="1" ht="12.75" customHeight="1">
      <c r="B23" s="121"/>
      <c r="C23" s="121"/>
      <c r="D23" s="58"/>
      <c r="E23" s="58"/>
      <c r="F23" s="123"/>
      <c r="G23" s="123"/>
      <c r="H23" s="58"/>
      <c r="I23" s="58"/>
      <c r="J23" s="121"/>
      <c r="K23" s="121"/>
      <c r="L23" s="121"/>
      <c r="M23" s="121"/>
      <c r="N23" s="161"/>
      <c r="O23" s="161"/>
      <c r="P23" s="161"/>
      <c r="Q23" s="161"/>
      <c r="R23" s="161"/>
      <c r="S23" s="160"/>
      <c r="T23" s="160"/>
      <c r="U23" s="160"/>
      <c r="V23" s="160"/>
      <c r="W23" s="160"/>
      <c r="X23" s="160"/>
      <c r="Y23" s="121"/>
      <c r="Z23" s="121"/>
      <c r="AA23" s="121"/>
      <c r="AB23" s="48"/>
    </row>
    <row r="24" spans="1:31" s="35" customFormat="1" ht="18.75" customHeight="1">
      <c r="B24" s="59"/>
      <c r="C24" s="59"/>
      <c r="D24" s="59"/>
      <c r="E24" s="60"/>
      <c r="F24" s="61"/>
      <c r="G24" s="123"/>
      <c r="H24" s="59"/>
      <c r="I24" s="60"/>
      <c r="J24" s="59"/>
      <c r="K24" s="59"/>
      <c r="L24" s="59"/>
      <c r="M24" s="59"/>
      <c r="N24" s="59"/>
      <c r="O24" s="59"/>
      <c r="P24" s="59"/>
      <c r="Q24" s="59"/>
      <c r="R24" s="59"/>
      <c r="S24" s="62"/>
      <c r="T24" s="59"/>
      <c r="U24" s="59"/>
      <c r="V24" s="59"/>
      <c r="W24" s="59"/>
      <c r="X24" s="63"/>
      <c r="Y24" s="121"/>
      <c r="Z24" s="121"/>
      <c r="AA24" s="121"/>
      <c r="AB24" s="48"/>
    </row>
    <row r="25" spans="1:31" s="35" customFormat="1" ht="19.5" customHeight="1">
      <c r="B25" s="64"/>
      <c r="C25" s="65"/>
      <c r="D25" s="43"/>
      <c r="E25" s="43"/>
      <c r="F25" s="66"/>
      <c r="G25" s="67"/>
      <c r="H25" s="66"/>
      <c r="I25" s="66"/>
      <c r="J25" s="42"/>
      <c r="K25" s="42"/>
      <c r="L25" s="42"/>
      <c r="M25" s="42"/>
      <c r="N25" s="68"/>
      <c r="O25" s="69"/>
      <c r="P25" s="69"/>
      <c r="Q25" s="70"/>
      <c r="R25" s="70"/>
      <c r="S25" s="70"/>
      <c r="T25" s="70"/>
      <c r="U25" s="70"/>
      <c r="V25" s="71"/>
      <c r="W25" s="71"/>
      <c r="X25" s="71"/>
      <c r="Y25" s="63"/>
      <c r="Z25" s="63"/>
      <c r="AA25" s="63"/>
      <c r="AB25" s="48"/>
    </row>
    <row r="26" spans="1:31" s="37" customFormat="1" ht="20.25" customHeight="1">
      <c r="B26" s="64"/>
      <c r="C26" s="65"/>
      <c r="D26" s="43"/>
      <c r="E26" s="43"/>
      <c r="F26" s="66"/>
      <c r="G26" s="67"/>
      <c r="H26" s="66"/>
      <c r="I26" s="66"/>
      <c r="J26" s="42"/>
      <c r="K26" s="42"/>
      <c r="L26" s="42"/>
      <c r="M26" s="42"/>
      <c r="N26" s="72"/>
      <c r="O26" s="71"/>
      <c r="P26" s="66"/>
      <c r="Q26" s="70"/>
      <c r="R26" s="73"/>
      <c r="S26" s="66"/>
      <c r="T26" s="66"/>
      <c r="U26" s="66"/>
      <c r="V26" s="71"/>
      <c r="W26" s="71"/>
      <c r="X26" s="71"/>
      <c r="Y26" s="71"/>
      <c r="Z26" s="71"/>
      <c r="AA26" s="71"/>
      <c r="AB26" s="47"/>
    </row>
    <row r="27" spans="1:31" s="37" customFormat="1" ht="12" customHeight="1">
      <c r="A27" s="47"/>
      <c r="B27" s="42"/>
      <c r="C27" s="43"/>
      <c r="D27" s="43"/>
      <c r="E27" s="43"/>
      <c r="F27" s="43"/>
      <c r="G27" s="57"/>
      <c r="H27" s="43"/>
      <c r="I27" s="43"/>
      <c r="J27" s="42"/>
      <c r="K27" s="42"/>
      <c r="L27" s="42"/>
      <c r="M27" s="42"/>
      <c r="N27" s="44"/>
      <c r="O27" s="42"/>
      <c r="P27" s="43"/>
      <c r="Q27" s="45"/>
      <c r="R27" s="42"/>
      <c r="S27" s="43"/>
      <c r="T27" s="43"/>
      <c r="U27" s="43"/>
      <c r="V27" s="42"/>
      <c r="W27" s="42"/>
      <c r="X27" s="42"/>
      <c r="Y27" s="71"/>
      <c r="Z27" s="71"/>
      <c r="AA27" s="71"/>
      <c r="AB27" s="47"/>
    </row>
    <row r="28" spans="1:31" s="37" customFormat="1">
      <c r="B28" s="16"/>
      <c r="C28" s="15"/>
      <c r="D28" s="21"/>
      <c r="E28" s="21"/>
      <c r="F28" s="21"/>
      <c r="G28" s="23"/>
      <c r="H28" s="21"/>
      <c r="I28" s="21"/>
      <c r="J28" s="18"/>
      <c r="K28" s="18"/>
      <c r="L28" s="19"/>
      <c r="M28" s="22"/>
      <c r="N28" s="20"/>
      <c r="O28" s="19"/>
      <c r="P28" s="21"/>
      <c r="Q28" s="17"/>
      <c r="R28" s="18"/>
      <c r="S28" s="21"/>
      <c r="T28" s="21"/>
      <c r="U28" s="21"/>
      <c r="V28" s="18"/>
      <c r="W28" s="18"/>
      <c r="X28" s="18"/>
      <c r="Y28" s="42"/>
      <c r="Z28" s="42"/>
      <c r="AA28" s="42"/>
      <c r="AB28" s="42"/>
      <c r="AC28" s="42"/>
      <c r="AD28" s="42"/>
      <c r="AE28" s="42"/>
    </row>
    <row r="29" spans="1:31" ht="15" customHeight="1">
      <c r="B29" s="24"/>
      <c r="C29" s="24"/>
      <c r="D29" s="24"/>
      <c r="E29" s="24"/>
      <c r="F29" s="24"/>
      <c r="G29" s="46"/>
      <c r="H29" s="46"/>
      <c r="I29" s="21"/>
      <c r="J29" s="18"/>
      <c r="K29" s="18"/>
      <c r="L29" s="19"/>
      <c r="M29" s="22"/>
      <c r="N29" s="20"/>
      <c r="O29" s="19"/>
      <c r="P29" s="21"/>
      <c r="Q29" s="17"/>
      <c r="R29" s="18"/>
      <c r="S29" s="21"/>
      <c r="T29" s="21"/>
      <c r="U29" s="21"/>
      <c r="V29" s="18"/>
      <c r="W29" s="18"/>
      <c r="X29" s="18"/>
      <c r="Y29" s="19"/>
      <c r="Z29" s="19"/>
      <c r="AA29" s="19"/>
      <c r="AB29" s="19"/>
      <c r="AC29" s="19"/>
      <c r="AD29" s="19"/>
      <c r="AE29" s="19"/>
    </row>
    <row r="30" spans="1:31" ht="15" customHeight="1">
      <c r="F30" s="55"/>
      <c r="G30" s="46"/>
      <c r="H30" s="56"/>
      <c r="I30" s="21"/>
      <c r="J30" s="18"/>
      <c r="K30" s="18"/>
      <c r="L30" s="19"/>
      <c r="M30" s="22"/>
      <c r="N30" s="20"/>
      <c r="O30" s="19"/>
      <c r="P30" s="21"/>
      <c r="Q30" s="17"/>
      <c r="R30" s="18"/>
      <c r="S30" s="21"/>
      <c r="T30" s="21"/>
      <c r="U30" s="21"/>
      <c r="V30" s="18"/>
      <c r="W30" s="18"/>
      <c r="X30" s="18"/>
      <c r="Y30" s="19"/>
      <c r="Z30" s="19"/>
      <c r="AA30" s="19"/>
      <c r="AB30" s="19"/>
      <c r="AC30" s="19"/>
      <c r="AD30" s="19"/>
      <c r="AE30" s="19"/>
    </row>
    <row r="31" spans="1:31" ht="20.25" customHeight="1">
      <c r="F31" s="25"/>
      <c r="G31" s="25"/>
      <c r="H31" s="25"/>
      <c r="I31" s="26"/>
      <c r="J31" s="25"/>
      <c r="K31" s="25"/>
      <c r="L31" s="25"/>
      <c r="M31" s="27"/>
      <c r="N31" s="27"/>
      <c r="O31" s="27"/>
      <c r="P31" s="25"/>
      <c r="Q31" s="25"/>
      <c r="R31" s="25"/>
      <c r="S31" s="25"/>
      <c r="T31" s="25"/>
      <c r="U31" s="25"/>
      <c r="V31" s="25"/>
      <c r="Y31" s="19"/>
      <c r="Z31" s="19"/>
      <c r="AA31" s="19"/>
      <c r="AB31" s="19"/>
      <c r="AC31" s="19"/>
      <c r="AD31" s="19"/>
      <c r="AE31" s="19"/>
    </row>
    <row r="32" spans="1:31">
      <c r="F32" s="55"/>
      <c r="G32" s="55"/>
      <c r="H32" s="55"/>
    </row>
    <row r="33" spans="5:8" ht="15.75" customHeight="1">
      <c r="E33" s="54"/>
      <c r="F33" s="55"/>
      <c r="G33" s="55"/>
      <c r="H33" s="55"/>
    </row>
    <row r="34" spans="5:8" ht="10.5" customHeight="1">
      <c r="E34" s="54"/>
      <c r="F34" s="55"/>
      <c r="G34" s="55"/>
      <c r="H34" s="55"/>
    </row>
    <row r="35" spans="5:8" ht="11.25" customHeight="1">
      <c r="E35" s="54"/>
    </row>
    <row r="36" spans="5:8" ht="13.5" customHeight="1"/>
    <row r="37" spans="5:8" ht="13.5" customHeight="1"/>
    <row r="38" spans="5:8" ht="12.75" customHeight="1"/>
    <row r="39" spans="5:8" ht="12" customHeight="1"/>
    <row r="40" spans="5:8" ht="11.25" customHeight="1"/>
    <row r="41" spans="5:8" ht="12.75" customHeight="1"/>
    <row r="42" spans="5:8" ht="12" customHeight="1"/>
    <row r="43" spans="5:8" ht="12" customHeight="1"/>
    <row r="44" spans="5:8" ht="13.5" customHeight="1"/>
    <row r="45" spans="5:8" ht="11.25" customHeight="1"/>
    <row r="46" spans="5:8" ht="11.25" customHeight="1"/>
    <row r="47" spans="5:8" ht="12" customHeight="1"/>
  </sheetData>
  <mergeCells count="113">
    <mergeCell ref="Z23:Z24"/>
    <mergeCell ref="AA23:AA24"/>
    <mergeCell ref="H11:J11"/>
    <mergeCell ref="X22:X23"/>
    <mergeCell ref="Y23:Y24"/>
    <mergeCell ref="R22:R23"/>
    <mergeCell ref="S22:S23"/>
    <mergeCell ref="T22:T23"/>
    <mergeCell ref="U22:U23"/>
    <mergeCell ref="V22:V23"/>
    <mergeCell ref="W22:W23"/>
    <mergeCell ref="P15:Y15"/>
    <mergeCell ref="L22:L23"/>
    <mergeCell ref="M22:M23"/>
    <mergeCell ref="N22:N23"/>
    <mergeCell ref="O22:O23"/>
    <mergeCell ref="P22:P23"/>
    <mergeCell ref="Q22:Q23"/>
    <mergeCell ref="V13:Y13"/>
    <mergeCell ref="V14:Y14"/>
    <mergeCell ref="V12:Y12"/>
    <mergeCell ref="P14:R14"/>
    <mergeCell ref="K15:L15"/>
    <mergeCell ref="M15:O15"/>
    <mergeCell ref="P13:R13"/>
    <mergeCell ref="P12:R12"/>
    <mergeCell ref="V9:Y9"/>
    <mergeCell ref="V10:Y10"/>
    <mergeCell ref="V11:Y11"/>
    <mergeCell ref="K10:L10"/>
    <mergeCell ref="M8:O8"/>
    <mergeCell ref="V8:Y8"/>
    <mergeCell ref="P9:R9"/>
    <mergeCell ref="P8:R8"/>
    <mergeCell ref="K8:L8"/>
    <mergeCell ref="K9:L9"/>
    <mergeCell ref="S8:U8"/>
    <mergeCell ref="S9:U9"/>
    <mergeCell ref="M9:O9"/>
    <mergeCell ref="S10:U10"/>
    <mergeCell ref="S11:U11"/>
    <mergeCell ref="K11:L11"/>
    <mergeCell ref="M10:O10"/>
    <mergeCell ref="M11:O11"/>
    <mergeCell ref="P11:R11"/>
    <mergeCell ref="P10:R10"/>
    <mergeCell ref="B11:D11"/>
    <mergeCell ref="H9:J9"/>
    <mergeCell ref="H10:J10"/>
    <mergeCell ref="E9:G9"/>
    <mergeCell ref="E10:G10"/>
    <mergeCell ref="E11:G11"/>
    <mergeCell ref="S12:U12"/>
    <mergeCell ref="S13:U13"/>
    <mergeCell ref="S14:U14"/>
    <mergeCell ref="B12:D12"/>
    <mergeCell ref="E12:G12"/>
    <mergeCell ref="H12:J12"/>
    <mergeCell ref="B13:D13"/>
    <mergeCell ref="B14:D14"/>
    <mergeCell ref="K12:L12"/>
    <mergeCell ref="K13:L13"/>
    <mergeCell ref="M12:O12"/>
    <mergeCell ref="M13:O13"/>
    <mergeCell ref="K14:L14"/>
    <mergeCell ref="M14:O14"/>
    <mergeCell ref="H13:J13"/>
    <mergeCell ref="H14:J14"/>
    <mergeCell ref="E13:G13"/>
    <mergeCell ref="E14:G14"/>
    <mergeCell ref="S2:V2"/>
    <mergeCell ref="V3:Y3"/>
    <mergeCell ref="B5:D5"/>
    <mergeCell ref="E5:G5"/>
    <mergeCell ref="H5:J5"/>
    <mergeCell ref="V5:Y5"/>
    <mergeCell ref="K5:L5"/>
    <mergeCell ref="V6:Y6"/>
    <mergeCell ref="B7:D7"/>
    <mergeCell ref="E7:G7"/>
    <mergeCell ref="I2:R3"/>
    <mergeCell ref="B6:D6"/>
    <mergeCell ref="E6:G6"/>
    <mergeCell ref="H6:J6"/>
    <mergeCell ref="K6:L6"/>
    <mergeCell ref="M5:O5"/>
    <mergeCell ref="M7:O7"/>
    <mergeCell ref="P7:R7"/>
    <mergeCell ref="S7:U7"/>
    <mergeCell ref="M6:O6"/>
    <mergeCell ref="P5:R5"/>
    <mergeCell ref="P6:R6"/>
    <mergeCell ref="S5:U5"/>
    <mergeCell ref="S6:U6"/>
    <mergeCell ref="H7:J7"/>
    <mergeCell ref="V7:Y7"/>
    <mergeCell ref="K7:L7"/>
    <mergeCell ref="B22:B23"/>
    <mergeCell ref="C22:C23"/>
    <mergeCell ref="D22:E22"/>
    <mergeCell ref="H22:I22"/>
    <mergeCell ref="F22:F23"/>
    <mergeCell ref="G22:G24"/>
    <mergeCell ref="J22:J23"/>
    <mergeCell ref="K22:K23"/>
    <mergeCell ref="B15:D15"/>
    <mergeCell ref="E15:G15"/>
    <mergeCell ref="H15:J15"/>
    <mergeCell ref="B9:D9"/>
    <mergeCell ref="B10:D10"/>
    <mergeCell ref="E8:G8"/>
    <mergeCell ref="B8:D8"/>
    <mergeCell ref="H8:J8"/>
  </mergeCells>
  <pageMargins left="0" right="0" top="0.5" bottom="0" header="0.3" footer="0.3"/>
  <pageSetup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3:D22"/>
  <sheetViews>
    <sheetView workbookViewId="0"/>
  </sheetViews>
  <sheetFormatPr defaultRowHeight="15"/>
  <cols>
    <col min="3" max="3" width="13" customWidth="1"/>
    <col min="4" max="4" width="12.28515625" customWidth="1"/>
  </cols>
  <sheetData>
    <row r="3" spans="2:4">
      <c r="B3" s="30" t="s">
        <v>11</v>
      </c>
      <c r="C3" s="30" t="s">
        <v>12</v>
      </c>
      <c r="D3" s="30" t="s">
        <v>13</v>
      </c>
    </row>
    <row r="4" spans="2:4">
      <c r="B4" s="29">
        <f>Endurance!B20</f>
        <v>0</v>
      </c>
      <c r="C4" s="29">
        <f>Endurance!C20</f>
        <v>0</v>
      </c>
      <c r="D4" s="31">
        <f>(2*3.142*B4*C4)/(4500*9.81)</f>
        <v>0</v>
      </c>
    </row>
    <row r="5" spans="2:4">
      <c r="B5" s="29" t="e">
        <f>Endurance!#REF!</f>
        <v>#REF!</v>
      </c>
      <c r="C5" s="29" t="e">
        <f>Endurance!#REF!</f>
        <v>#REF!</v>
      </c>
      <c r="D5" s="31" t="e">
        <f t="shared" ref="D5:D21" si="0">(2*3.142*B5*C5)/(4500*9.81)</f>
        <v>#REF!</v>
      </c>
    </row>
    <row r="6" spans="2:4">
      <c r="B6" s="29" t="e">
        <f>Endurance!#REF!</f>
        <v>#REF!</v>
      </c>
      <c r="C6" s="29" t="e">
        <f>Endurance!#REF!</f>
        <v>#REF!</v>
      </c>
      <c r="D6" s="31" t="e">
        <f t="shared" si="0"/>
        <v>#REF!</v>
      </c>
    </row>
    <row r="7" spans="2:4">
      <c r="B7" s="29" t="e">
        <f>Endurance!#REF!</f>
        <v>#REF!</v>
      </c>
      <c r="C7" s="29" t="e">
        <f>Endurance!#REF!</f>
        <v>#REF!</v>
      </c>
      <c r="D7" s="31" t="e">
        <f t="shared" si="0"/>
        <v>#REF!</v>
      </c>
    </row>
    <row r="8" spans="2:4">
      <c r="B8" s="29" t="e">
        <f>Endurance!#REF!</f>
        <v>#REF!</v>
      </c>
      <c r="C8" s="29" t="e">
        <f>Endurance!#REF!</f>
        <v>#REF!</v>
      </c>
      <c r="D8" s="31" t="e">
        <f t="shared" si="0"/>
        <v>#REF!</v>
      </c>
    </row>
    <row r="9" spans="2:4">
      <c r="B9" s="29" t="e">
        <f>Endurance!#REF!</f>
        <v>#REF!</v>
      </c>
      <c r="C9" s="29" t="e">
        <f>Endurance!#REF!</f>
        <v>#REF!</v>
      </c>
      <c r="D9" s="31" t="e">
        <f t="shared" si="0"/>
        <v>#REF!</v>
      </c>
    </row>
    <row r="10" spans="2:4">
      <c r="B10" s="29" t="e">
        <f>Endurance!#REF!</f>
        <v>#REF!</v>
      </c>
      <c r="C10" s="29" t="e">
        <f>Endurance!#REF!</f>
        <v>#REF!</v>
      </c>
      <c r="D10" s="31" t="e">
        <f t="shared" si="0"/>
        <v>#REF!</v>
      </c>
    </row>
    <row r="11" spans="2:4">
      <c r="B11" s="29" t="e">
        <f>Endurance!#REF!</f>
        <v>#REF!</v>
      </c>
      <c r="C11" s="29" t="e">
        <f>Endurance!#REF!</f>
        <v>#REF!</v>
      </c>
      <c r="D11" s="31" t="e">
        <f t="shared" si="0"/>
        <v>#REF!</v>
      </c>
    </row>
    <row r="12" spans="2:4">
      <c r="B12" s="29" t="e">
        <f>Endurance!#REF!</f>
        <v>#REF!</v>
      </c>
      <c r="C12" s="29" t="e">
        <f>Endurance!#REF!</f>
        <v>#REF!</v>
      </c>
      <c r="D12" s="31" t="e">
        <f t="shared" si="0"/>
        <v>#REF!</v>
      </c>
    </row>
    <row r="13" spans="2:4">
      <c r="B13" s="29" t="e">
        <f>Endurance!#REF!</f>
        <v>#REF!</v>
      </c>
      <c r="C13" s="29" t="e">
        <f>Endurance!#REF!</f>
        <v>#REF!</v>
      </c>
      <c r="D13" s="31" t="e">
        <f t="shared" si="0"/>
        <v>#REF!</v>
      </c>
    </row>
    <row r="14" spans="2:4">
      <c r="B14" s="29" t="e">
        <f>Endurance!#REF!</f>
        <v>#REF!</v>
      </c>
      <c r="C14" s="29" t="e">
        <f>Endurance!#REF!</f>
        <v>#REF!</v>
      </c>
      <c r="D14" s="31" t="e">
        <f t="shared" si="0"/>
        <v>#REF!</v>
      </c>
    </row>
    <row r="15" spans="2:4">
      <c r="B15" s="29" t="e">
        <f>Endurance!#REF!</f>
        <v>#REF!</v>
      </c>
      <c r="C15" s="29" t="e">
        <f>Endurance!#REF!</f>
        <v>#REF!</v>
      </c>
      <c r="D15" s="31" t="e">
        <f t="shared" si="0"/>
        <v>#REF!</v>
      </c>
    </row>
    <row r="16" spans="2:4">
      <c r="B16" s="29" t="e">
        <f>Endurance!#REF!</f>
        <v>#REF!</v>
      </c>
      <c r="C16" s="29" t="e">
        <f>Endurance!#REF!</f>
        <v>#REF!</v>
      </c>
      <c r="D16" s="31" t="e">
        <f t="shared" si="0"/>
        <v>#REF!</v>
      </c>
    </row>
    <row r="17" spans="2:4">
      <c r="B17" s="29" t="e">
        <f>Endurance!#REF!</f>
        <v>#REF!</v>
      </c>
      <c r="C17" s="29" t="e">
        <f>Endurance!#REF!</f>
        <v>#REF!</v>
      </c>
      <c r="D17" s="31" t="e">
        <f t="shared" si="0"/>
        <v>#REF!</v>
      </c>
    </row>
    <row r="18" spans="2:4">
      <c r="B18" s="29" t="e">
        <f>Endurance!#REF!</f>
        <v>#REF!</v>
      </c>
      <c r="C18" s="29" t="e">
        <f>Endurance!#REF!</f>
        <v>#REF!</v>
      </c>
      <c r="D18" s="31" t="e">
        <f t="shared" si="0"/>
        <v>#REF!</v>
      </c>
    </row>
    <row r="19" spans="2:4">
      <c r="B19" s="29" t="e">
        <f>Endurance!#REF!</f>
        <v>#REF!</v>
      </c>
      <c r="C19" s="29" t="e">
        <f>Endurance!#REF!</f>
        <v>#REF!</v>
      </c>
      <c r="D19" s="31" t="e">
        <f t="shared" si="0"/>
        <v>#REF!</v>
      </c>
    </row>
    <row r="20" spans="2:4">
      <c r="B20" s="29" t="e">
        <f>Endurance!#REF!</f>
        <v>#REF!</v>
      </c>
      <c r="C20" s="29" t="e">
        <f>Endurance!#REF!</f>
        <v>#REF!</v>
      </c>
      <c r="D20" s="31" t="e">
        <f t="shared" si="0"/>
        <v>#REF!</v>
      </c>
    </row>
    <row r="21" spans="2:4">
      <c r="B21" s="29">
        <f>Endurance!B21</f>
        <v>0</v>
      </c>
      <c r="C21" s="29">
        <f>Endurance!C21</f>
        <v>0</v>
      </c>
      <c r="D21" s="31">
        <f t="shared" si="0"/>
        <v>0</v>
      </c>
    </row>
    <row r="22" spans="2:4" ht="11.25" customHeigh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2" sqref="A2:X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Endurance</vt:lpstr>
      <vt:lpstr>Graphs</vt:lpstr>
      <vt:lpstr>Sheet3</vt:lpstr>
      <vt:lpstr>Endurance!Print_Area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SOFTWARE-DEPT</dc:creator>
  <cp:lastModifiedBy>Windows User</cp:lastModifiedBy>
  <cp:lastPrinted>2014-05-26T12:02:22Z</cp:lastPrinted>
  <dcterms:created xsi:type="dcterms:W3CDTF">2014-05-26T10:28:40Z</dcterms:created>
  <dcterms:modified xsi:type="dcterms:W3CDTF">2019-03-14T06:20:00Z</dcterms:modified>
</cp:coreProperties>
</file>